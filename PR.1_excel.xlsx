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Grade" sheetId="1" r:id="rId5"/>
    <sheet state="visible" name="Sales Data" sheetId="2" r:id="rId6"/>
    <sheet state="visible" name="Employee Data" sheetId="3" r:id="rId7"/>
  </sheets>
  <definedNames/>
  <calcPr/>
</workbook>
</file>

<file path=xl/sharedStrings.xml><?xml version="1.0" encoding="utf-8"?>
<sst xmlns="http://schemas.openxmlformats.org/spreadsheetml/2006/main" count="264" uniqueCount="197">
  <si>
    <t>Students Grade Data &amp; Analysis</t>
  </si>
  <si>
    <t>Student ID</t>
  </si>
  <si>
    <t>Sales Data &amp; Lookup / Aggregation Analysis</t>
  </si>
  <si>
    <t>Full Name</t>
  </si>
  <si>
    <t>Employee Data &amp; Advanced Lookups / Date Functions</t>
  </si>
  <si>
    <t>Math</t>
  </si>
  <si>
    <t>Science</t>
  </si>
  <si>
    <t>English</t>
  </si>
  <si>
    <t>Average</t>
  </si>
  <si>
    <t>Grade</t>
  </si>
  <si>
    <t>Status (Math &amp; Science &gt;80)</t>
  </si>
  <si>
    <t>First Name</t>
  </si>
  <si>
    <t>Name (UPPER)</t>
  </si>
  <si>
    <t>Name (LOWER)</t>
  </si>
  <si>
    <t>S001</t>
  </si>
  <si>
    <t>Rahul Sharma</t>
  </si>
  <si>
    <t>Product Master Table</t>
  </si>
  <si>
    <t>Emp ID</t>
  </si>
  <si>
    <t>Department</t>
  </si>
  <si>
    <t>Date of Joining</t>
  </si>
  <si>
    <t>Date of Birth</t>
  </si>
  <si>
    <t>Salary</t>
  </si>
  <si>
    <t>Years of Service</t>
  </si>
  <si>
    <t>Age</t>
  </si>
  <si>
    <t>Salary (XLOOKUP)</t>
  </si>
  <si>
    <t>Status</t>
  </si>
  <si>
    <t>E001</t>
  </si>
  <si>
    <t>Product Code</t>
  </si>
  <si>
    <t>Rajesh Khanna</t>
  </si>
  <si>
    <t>Product Name</t>
  </si>
  <si>
    <t>Sales</t>
  </si>
  <si>
    <t>Unit Price</t>
  </si>
  <si>
    <t>Category</t>
  </si>
  <si>
    <t>P101</t>
  </si>
  <si>
    <t>Laptop Pro 15</t>
  </si>
  <si>
    <t>Electronics</t>
  </si>
  <si>
    <t>P102</t>
  </si>
  <si>
    <t>Wireless Mouse</t>
  </si>
  <si>
    <t>Accessories</t>
  </si>
  <si>
    <t>P103</t>
  </si>
  <si>
    <t>USB-C Hub</t>
  </si>
  <si>
    <t>P104</t>
  </si>
  <si>
    <t>Monitor 27"</t>
  </si>
  <si>
    <t>P105</t>
  </si>
  <si>
    <t>Keyboard Mechanical</t>
  </si>
  <si>
    <t>P106</t>
  </si>
  <si>
    <t>Webcam HD</t>
  </si>
  <si>
    <t>P107</t>
  </si>
  <si>
    <t>Laptop Stand</t>
  </si>
  <si>
    <t>P108</t>
  </si>
  <si>
    <t>Noise Cancelling Headphones</t>
  </si>
  <si>
    <t>Sales Transactions</t>
  </si>
  <si>
    <t>Sale ID</t>
  </si>
  <si>
    <t>Date</t>
  </si>
  <si>
    <t>Product Name (VLOOKUP)</t>
  </si>
  <si>
    <t>Unit Price (VLOOKUP)</t>
  </si>
  <si>
    <t>Qty</t>
  </si>
  <si>
    <t>Region</t>
  </si>
  <si>
    <t>Salesperson</t>
  </si>
  <si>
    <t>Total Sales</t>
  </si>
  <si>
    <t>Discount Eligible?</t>
  </si>
  <si>
    <t>SL001</t>
  </si>
  <si>
    <t>S002</t>
  </si>
  <si>
    <t>Priya Patel</t>
  </si>
  <si>
    <t>E002</t>
  </si>
  <si>
    <t>Sunita Agarwal</t>
  </si>
  <si>
    <t>HR</t>
  </si>
  <si>
    <t>S003</t>
  </si>
  <si>
    <t>Amit Kumar</t>
  </si>
  <si>
    <t>S004</t>
  </si>
  <si>
    <t>Sneha Reddy</t>
  </si>
  <si>
    <t>North</t>
  </si>
  <si>
    <t>Ravi</t>
  </si>
  <si>
    <t>E003</t>
  </si>
  <si>
    <t>Mohit Verma</t>
  </si>
  <si>
    <t>IT</t>
  </si>
  <si>
    <t>S005</t>
  </si>
  <si>
    <t>Vikram Singh</t>
  </si>
  <si>
    <t>E004</t>
  </si>
  <si>
    <t>Pooja Desai</t>
  </si>
  <si>
    <t>Finance</t>
  </si>
  <si>
    <t>SL002</t>
  </si>
  <si>
    <t>South</t>
  </si>
  <si>
    <t>Priya</t>
  </si>
  <si>
    <t>E005</t>
  </si>
  <si>
    <t>Karan Malhotra</t>
  </si>
  <si>
    <t>SL003</t>
  </si>
  <si>
    <t>West</t>
  </si>
  <si>
    <t>Amit</t>
  </si>
  <si>
    <t>SL004</t>
  </si>
  <si>
    <t>E006</t>
  </si>
  <si>
    <t>Neha Kapoor</t>
  </si>
  <si>
    <t>Marketing</t>
  </si>
  <si>
    <t>SL005</t>
  </si>
  <si>
    <t>East</t>
  </si>
  <si>
    <t>Sneha</t>
  </si>
  <si>
    <t>SL006</t>
  </si>
  <si>
    <t>E007</t>
  </si>
  <si>
    <t>Aakash Jain</t>
  </si>
  <si>
    <t>SL007</t>
  </si>
  <si>
    <t>E008</t>
  </si>
  <si>
    <t>SL008</t>
  </si>
  <si>
    <t>Ritu Sharma</t>
  </si>
  <si>
    <t>SL009</t>
  </si>
  <si>
    <t>E009</t>
  </si>
  <si>
    <t>Vishal Reddy</t>
  </si>
  <si>
    <t>SL010</t>
  </si>
  <si>
    <t>SL011</t>
  </si>
  <si>
    <t>E010</t>
  </si>
  <si>
    <t>SL012</t>
  </si>
  <si>
    <t>Anjali Nair</t>
  </si>
  <si>
    <t>S006</t>
  </si>
  <si>
    <t>Ananya Gupta</t>
  </si>
  <si>
    <t>S007</t>
  </si>
  <si>
    <t>Rohan Mehta</t>
  </si>
  <si>
    <t>XLOOKUP Demo (implemented with INDEX/MATCH for compatibility – XLOOKUP works the same way in Excel 365)</t>
  </si>
  <si>
    <t>Discount Calculation (Nested IF)</t>
  </si>
  <si>
    <t>S008</t>
  </si>
  <si>
    <t>Kavita Joshi</t>
  </si>
  <si>
    <t>XLOOKUP Demo: Fetch Employee Salary Dynamically</t>
  </si>
  <si>
    <t>Discount %</t>
  </si>
  <si>
    <t>S009</t>
  </si>
  <si>
    <t>Discounted Price</t>
  </si>
  <si>
    <t>Arjun Nair</t>
  </si>
  <si>
    <t>Enter Emp ID →</t>
  </si>
  <si>
    <t>S010</t>
  </si>
  <si>
    <t>Employee Name (XLOOKUP):</t>
  </si>
  <si>
    <t>Meera Iyer</t>
  </si>
  <si>
    <t>S011</t>
  </si>
  <si>
    <t>Siddharth Rao</t>
  </si>
  <si>
    <t>S012</t>
  </si>
  <si>
    <t>Divya Krishnan</t>
  </si>
  <si>
    <t>Department (XLOOKUP):</t>
  </si>
  <si>
    <t>Summary Analysis (COUNTIFS / SUMIFS / AVERAGEIFS / FILTER)</t>
  </si>
  <si>
    <t>Salary (XLOOKUP):</t>
  </si>
  <si>
    <t>Metric</t>
  </si>
  <si>
    <t>Formula / Result</t>
  </si>
  <si>
    <t>Value</t>
  </si>
  <si>
    <t>Students with Math &gt; 50</t>
  </si>
  <si>
    <t>Date of Joining (XLOOKUP):</t>
  </si>
  <si>
    <t>Students with Average &gt; 60</t>
  </si>
  <si>
    <t>Date Difference Demo</t>
  </si>
  <si>
    <t>Start Date:</t>
  </si>
  <si>
    <t>Avg Math score (Math &gt; 60)</t>
  </si>
  <si>
    <t>End Date:</t>
  </si>
  <si>
    <t>Difference in Days:</t>
  </si>
  <si>
    <t>Students with Math&gt;80 AND Science&gt;80</t>
  </si>
  <si>
    <t>Difference in Years (YEARFRAC):</t>
  </si>
  <si>
    <t>Aggregation with SUMIFS / COUNTIFS / AVERAGEIFS</t>
  </si>
  <si>
    <t>FILTER: Students with Average &gt; 80 (Top Performers)</t>
  </si>
  <si>
    <t>Math Functions: ROUND / CEILING / FLOOR</t>
  </si>
  <si>
    <t>Criteria</t>
  </si>
  <si>
    <t>Result</t>
  </si>
  <si>
    <t>Total Sales - North Region</t>
  </si>
  <si>
    <t>Region = North</t>
  </si>
  <si>
    <t>Original Salary</t>
  </si>
  <si>
    <t>ROUND to nearest 1000</t>
  </si>
  <si>
    <t>CEILING to next 5000</t>
  </si>
  <si>
    <t>FLOOR to previous 5000</t>
  </si>
  <si>
    <t>Total Sales - Product P101</t>
  </si>
  <si>
    <t>Product = P101</t>
  </si>
  <si>
    <t>VLOOKUP Demo: Find Student Name by ID</t>
  </si>
  <si>
    <t>Enter Student ID →</t>
  </si>
  <si>
    <t>Total Sales - North + P101 (SUMIFS)</t>
  </si>
  <si>
    <t>Region=North AND Product=P101</t>
  </si>
  <si>
    <t>Student Name (VLOOKUP):</t>
  </si>
  <si>
    <t>Count of Sales - South Region</t>
  </si>
  <si>
    <t>Region = South</t>
  </si>
  <si>
    <t>Math Score (VLOOKUP):</t>
  </si>
  <si>
    <t>Avg Sale Value - Electronics (via helper)</t>
  </si>
  <si>
    <t>Using AVERAGEIF on Total</t>
  </si>
  <si>
    <t>XMATCH Function Demo</t>
  </si>
  <si>
    <t>Find position of Product Code:</t>
  </si>
  <si>
    <t>Position in Product List (MATCH):</t>
  </si>
  <si>
    <t>INDEX + MATCH: Flexible Employee Lookup (no column restriction)</t>
  </si>
  <si>
    <t>Product Name at that position (INDEX):</t>
  </si>
  <si>
    <t>Lookup Emp ID:</t>
  </si>
  <si>
    <t>Department (INDEX/MATCH):</t>
  </si>
  <si>
    <t>INDEX + MATCH: Sales by Salesperson</t>
  </si>
  <si>
    <t>Salary (INDEX/MATCH):</t>
  </si>
  <si>
    <t>Select Salesperson →</t>
  </si>
  <si>
    <t>First matching Sale ID (INDEX/MATCH):</t>
  </si>
  <si>
    <t>Years of Service (INDEX/MATCH):</t>
  </si>
  <si>
    <t>Total Sales by this Salesperson (SUMIF):</t>
  </si>
  <si>
    <t>Relative vs Absolute References Demo</t>
  </si>
  <si>
    <t>Tax Rate (Absolute reference $B$46):</t>
  </si>
  <si>
    <t>INDIRECT Function Demo</t>
  </si>
  <si>
    <t>Sheet Name (type sheet name):</t>
  </si>
  <si>
    <t>Sales Data</t>
  </si>
  <si>
    <t>Tax (using $B$46 absolute)</t>
  </si>
  <si>
    <t>Net Salary</t>
  </si>
  <si>
    <t>Cell Reference:</t>
  </si>
  <si>
    <t>C5</t>
  </si>
  <si>
    <t>Value via INDIRECT:</t>
  </si>
  <si>
    <t>OFFSET Function Demo - Dynamic Range</t>
  </si>
  <si>
    <t>Starting from first sale total, sum next N rows:</t>
  </si>
  <si>
    <t>Dynamic SUM using OFFSET: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</si>
</sst>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m\-yyyy"/>
    <numFmt numFmtId="165" formatCode="\₹#,##0"/>
    <numFmt numFmtId="166" formatCode="\₹#,##0.00"/>
  </numFmts>
  <fonts count="13">
    <font>
      <sz val="10.0"/>
      <color rgb="FF000000"/>
      <name val="Arial"/>
      <scheme val="minor"/>
    </font>
    <font>
      <b/>
      <sz val="18.0"/>
      <color rgb="FF1155CC"/>
      <name val="Arial"/>
      <scheme val="minor"/>
    </font>
    <font>
      <b/>
      <color rgb="FFFFFFFF"/>
      <name val="Arial"/>
    </font>
    <font>
      <b/>
      <sz val="16.0"/>
      <color rgb="FF1F4E79"/>
      <name val="Arial"/>
    </font>
    <font>
      <sz val="11.0"/>
      <color theme="1"/>
      <name val="Calibri"/>
    </font>
    <font>
      <color rgb="FF0000FF"/>
      <name val="Arial"/>
    </font>
    <font>
      <b/>
      <sz val="9.0"/>
      <color rgb="FFFFFFFF"/>
      <name val="Arial"/>
    </font>
    <font>
      <b/>
      <sz val="11.0"/>
      <color rgb="FF1F4E79"/>
      <name val="Arial"/>
    </font>
    <font/>
    <font>
      <color theme="1"/>
      <name val="Arial"/>
    </font>
    <font>
      <b/>
      <color rgb="FF1F4E79"/>
      <name val="Arial"/>
    </font>
    <font>
      <color rgb="FF008000"/>
      <name val="Arial"/>
    </font>
    <font>
      <b/>
      <sz val="11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AF8"/>
        <bgColor rgb="FFD6EAF8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shrinkToFit="0" wrapText="1"/>
    </xf>
    <xf borderId="1" fillId="2" fontId="6" numFmtId="0" xfId="0" applyAlignment="1" applyBorder="1" applyFill="1" applyFont="1">
      <alignment horizontal="center" shrinkToFit="0" wrapText="1"/>
    </xf>
    <xf borderId="2" fillId="3" fontId="7" numFmtId="0" xfId="0" applyAlignment="1" applyBorder="1" applyFill="1" applyFont="1">
      <alignment vertical="bottom"/>
    </xf>
    <xf borderId="3" fillId="0" fontId="8" numFmtId="0" xfId="0" applyBorder="1" applyFont="1"/>
    <xf borderId="4" fillId="0" fontId="8" numFmtId="0" xfId="0" applyBorder="1" applyFont="1"/>
    <xf borderId="1" fillId="0" fontId="5" numFmtId="164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vertical="bottom"/>
    </xf>
    <xf borderId="1" fillId="0" fontId="5" numFmtId="165" xfId="0" applyAlignment="1" applyBorder="1" applyFont="1" applyNumberFormat="1">
      <alignment horizontal="center" shrinkToFit="0" wrapText="1"/>
    </xf>
    <xf borderId="1" fillId="0" fontId="9" numFmtId="2" xfId="0" applyAlignment="1" applyBorder="1" applyFont="1" applyNumberFormat="1">
      <alignment horizontal="center" shrinkToFit="0" wrapText="1"/>
    </xf>
    <xf borderId="1" fillId="0" fontId="5" numFmtId="165" xfId="0" applyAlignment="1" applyBorder="1" applyFont="1" applyNumberFormat="1">
      <alignment horizontal="right" vertical="bottom"/>
    </xf>
    <xf borderId="1" fillId="0" fontId="9" numFmtId="0" xfId="0" applyAlignment="1" applyBorder="1" applyFont="1">
      <alignment horizontal="center" shrinkToFit="0" wrapText="1"/>
    </xf>
    <xf borderId="1" fillId="0" fontId="9" numFmtId="165" xfId="0" applyAlignment="1" applyBorder="1" applyFont="1" applyNumberFormat="1">
      <alignment horizontal="center" shrinkToFit="0" wrapText="1"/>
    </xf>
    <xf borderId="2" fillId="3" fontId="10" numFmtId="0" xfId="0" applyAlignment="1" applyBorder="1" applyFill="1" applyFont="1">
      <alignment vertical="bottom"/>
    </xf>
    <xf borderId="2" fillId="4" fontId="7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vertical="bottom"/>
    </xf>
    <xf borderId="1" fillId="5" fontId="5" numFmtId="0" xfId="0" applyAlignment="1" applyBorder="1" applyFill="1" applyFont="1">
      <alignment vertical="bottom"/>
    </xf>
    <xf borderId="1" fillId="0" fontId="11" numFmtId="0" xfId="0" applyAlignment="1" applyBorder="1" applyFont="1">
      <alignment vertical="bottom"/>
    </xf>
    <xf borderId="1" fillId="0" fontId="11" numFmtId="165" xfId="0" applyAlignment="1" applyBorder="1" applyFont="1" applyNumberFormat="1">
      <alignment horizontal="right" vertical="bottom"/>
    </xf>
    <xf borderId="1" fillId="0" fontId="9" numFmtId="0" xfId="0" applyAlignment="1" applyBorder="1" applyFont="1">
      <alignment vertical="bottom"/>
    </xf>
    <xf borderId="1" fillId="0" fontId="9" numFmtId="9" xfId="0" applyAlignment="1" applyBorder="1" applyFont="1" applyNumberFormat="1">
      <alignment horizontal="right" vertical="bottom"/>
    </xf>
    <xf borderId="2" fillId="6" fontId="12" numFmtId="0" xfId="0" applyAlignment="1" applyBorder="1" applyFill="1" applyFont="1">
      <alignment vertical="bottom"/>
    </xf>
    <xf borderId="1" fillId="0" fontId="9" numFmtId="166" xfId="0" applyAlignment="1" applyBorder="1" applyFont="1" applyNumberFormat="1">
      <alignment horizontal="right" vertical="bottom"/>
    </xf>
    <xf borderId="1" fillId="0" fontId="9" numFmtId="165" xfId="0" applyAlignment="1" applyBorder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1" fillId="0" fontId="9" numFmtId="164" xfId="0" applyAlignment="1" applyBorder="1" applyFont="1" applyNumberFormat="1">
      <alignment horizontal="right" vertical="bottom"/>
    </xf>
    <xf borderId="0" fillId="0" fontId="9" numFmtId="0" xfId="0" applyAlignment="1" applyFont="1">
      <alignment horizontal="right" vertical="bottom"/>
    </xf>
    <xf borderId="1" fillId="5" fontId="5" numFmtId="164" xfId="0" applyAlignment="1" applyBorder="1" applyFill="1" applyFont="1" applyNumberFormat="1">
      <alignment horizontal="right" vertical="bottom"/>
    </xf>
    <xf borderId="0" fillId="0" fontId="9" numFmtId="2" xfId="0" applyAlignment="1" applyFont="1" applyNumberFormat="1">
      <alignment horizontal="right" vertical="bottom"/>
    </xf>
    <xf borderId="1" fillId="0" fontId="9" numFmtId="0" xfId="0" applyAlignment="1" applyBorder="1" applyFont="1">
      <alignment horizontal="right" vertical="bottom"/>
    </xf>
    <xf borderId="1" fillId="0" fontId="9" numFmtId="2" xfId="0" applyAlignment="1" applyBorder="1" applyFont="1" applyNumberFormat="1">
      <alignment horizontal="right" vertical="bottom"/>
    </xf>
    <xf borderId="2" fillId="7" fontId="7" numFmtId="0" xfId="0" applyAlignment="1" applyBorder="1" applyFill="1" applyFont="1">
      <alignment vertical="bottom"/>
    </xf>
    <xf borderId="2" fillId="6" fontId="12" numFmtId="0" xfId="0" applyAlignment="1" applyBorder="1" applyFill="1" applyFont="1">
      <alignment vertical="bottom"/>
    </xf>
    <xf borderId="1" fillId="2" fontId="6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0" xfId="0" applyBorder="1" applyFont="1"/>
    <xf borderId="1" fillId="0" fontId="5" numFmtId="2" xfId="0" applyAlignment="1" applyBorder="1" applyFont="1" applyNumberFormat="1">
      <alignment horizontal="center"/>
    </xf>
    <xf borderId="0" fillId="0" fontId="9" numFmtId="165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9" numFmtId="166" xfId="0" applyAlignment="1" applyFont="1" applyNumberFormat="1">
      <alignment horizontal="right" vertical="bottom"/>
    </xf>
    <xf borderId="1" fillId="5" fontId="5" numFmtId="9" xfId="0" applyAlignment="1" applyBorder="1" applyFill="1" applyFont="1" applyNumberFormat="1">
      <alignment horizontal="right" vertical="bottom"/>
    </xf>
    <xf borderId="1" fillId="5" fontId="5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2" t="s">
        <v>3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4"/>
    </row>
    <row r="4">
      <c r="A4" s="5" t="s">
        <v>14</v>
      </c>
      <c r="B4" s="6" t="s">
        <v>15</v>
      </c>
      <c r="C4" s="5">
        <v>85.0</v>
      </c>
      <c r="D4" s="5">
        <v>78.0</v>
      </c>
      <c r="E4" s="5">
        <v>92.0</v>
      </c>
      <c r="F4" s="14">
        <f t="shared" ref="F4:F15" si="1">AVERAGE(C4:E4)</f>
        <v>85</v>
      </c>
      <c r="G4" s="16" t="str">
        <f t="shared" ref="G4:G15" si="2">IF(F4&gt;=90,"A",IF(F4&gt;=80,"B",IF(F4&gt;=70,"C",IF(F4&gt;=60,"D","F"))))</f>
        <v>B</v>
      </c>
      <c r="H4" s="16" t="str">
        <f t="shared" ref="H4:H15" si="3">IF(AND(C4&gt;80,D4&gt;80),"Excellent","Needs Improvement")</f>
        <v>Needs Improvement</v>
      </c>
      <c r="I4" s="16" t="str">
        <f t="shared" ref="I4:I15" si="4">LEFT(B4,FIND(" ",B4)-1)</f>
        <v>Rahul</v>
      </c>
      <c r="J4" s="16" t="str">
        <f t="shared" ref="J4:J15" si="5">UPPER(B4)</f>
        <v>RAHUL SHARMA</v>
      </c>
      <c r="K4" s="16" t="str">
        <f t="shared" ref="K4:K15" si="6">LOWER(B4)</f>
        <v>rahul sharma</v>
      </c>
      <c r="L4" s="4"/>
    </row>
    <row r="5">
      <c r="A5" s="5" t="s">
        <v>62</v>
      </c>
      <c r="B5" s="6" t="s">
        <v>63</v>
      </c>
      <c r="C5" s="5">
        <v>92.0</v>
      </c>
      <c r="D5" s="5">
        <v>88.0</v>
      </c>
      <c r="E5" s="5">
        <v>85.0</v>
      </c>
      <c r="F5" s="14">
        <f t="shared" si="1"/>
        <v>88.33333333</v>
      </c>
      <c r="G5" s="16" t="str">
        <f t="shared" si="2"/>
        <v>B</v>
      </c>
      <c r="H5" s="16" t="str">
        <f t="shared" si="3"/>
        <v>Excellent</v>
      </c>
      <c r="I5" s="16" t="str">
        <f t="shared" si="4"/>
        <v>Priya</v>
      </c>
      <c r="J5" s="16" t="str">
        <f t="shared" si="5"/>
        <v>PRIYA PATEL</v>
      </c>
      <c r="K5" s="16" t="str">
        <f t="shared" si="6"/>
        <v>priya patel</v>
      </c>
      <c r="L5" s="4"/>
    </row>
    <row r="6">
      <c r="A6" s="5" t="s">
        <v>67</v>
      </c>
      <c r="B6" s="6" t="s">
        <v>68</v>
      </c>
      <c r="C6" s="5">
        <v>45.0</v>
      </c>
      <c r="D6" s="5">
        <v>52.0</v>
      </c>
      <c r="E6" s="5">
        <v>60.0</v>
      </c>
      <c r="F6" s="14">
        <f t="shared" si="1"/>
        <v>52.33333333</v>
      </c>
      <c r="G6" s="16" t="str">
        <f t="shared" si="2"/>
        <v>F</v>
      </c>
      <c r="H6" s="16" t="str">
        <f t="shared" si="3"/>
        <v>Needs Improvement</v>
      </c>
      <c r="I6" s="16" t="str">
        <f t="shared" si="4"/>
        <v>Amit</v>
      </c>
      <c r="J6" s="16" t="str">
        <f t="shared" si="5"/>
        <v>AMIT KUMAR</v>
      </c>
      <c r="K6" s="16" t="str">
        <f t="shared" si="6"/>
        <v>amit kumar</v>
      </c>
      <c r="L6" s="4"/>
    </row>
    <row r="7">
      <c r="A7" s="5" t="s">
        <v>69</v>
      </c>
      <c r="B7" s="6" t="s">
        <v>70</v>
      </c>
      <c r="C7" s="5">
        <v>78.0</v>
      </c>
      <c r="D7" s="5">
        <v>81.0</v>
      </c>
      <c r="E7" s="5">
        <v>75.0</v>
      </c>
      <c r="F7" s="14">
        <f t="shared" si="1"/>
        <v>78</v>
      </c>
      <c r="G7" s="16" t="str">
        <f t="shared" si="2"/>
        <v>C</v>
      </c>
      <c r="H7" s="16" t="str">
        <f t="shared" si="3"/>
        <v>Needs Improvement</v>
      </c>
      <c r="I7" s="16" t="str">
        <f t="shared" si="4"/>
        <v>Sneha</v>
      </c>
      <c r="J7" s="16" t="str">
        <f t="shared" si="5"/>
        <v>SNEHA REDDY</v>
      </c>
      <c r="K7" s="16" t="str">
        <f t="shared" si="6"/>
        <v>sneha reddy</v>
      </c>
      <c r="L7" s="4"/>
    </row>
    <row r="8">
      <c r="A8" s="5" t="s">
        <v>76</v>
      </c>
      <c r="B8" s="6" t="s">
        <v>77</v>
      </c>
      <c r="C8" s="5">
        <v>95.0</v>
      </c>
      <c r="D8" s="5">
        <v>90.0</v>
      </c>
      <c r="E8" s="5">
        <v>88.0</v>
      </c>
      <c r="F8" s="14">
        <f t="shared" si="1"/>
        <v>91</v>
      </c>
      <c r="G8" s="16" t="str">
        <f t="shared" si="2"/>
        <v>A</v>
      </c>
      <c r="H8" s="16" t="str">
        <f t="shared" si="3"/>
        <v>Excellent</v>
      </c>
      <c r="I8" s="16" t="str">
        <f t="shared" si="4"/>
        <v>Vikram</v>
      </c>
      <c r="J8" s="16" t="str">
        <f t="shared" si="5"/>
        <v>VIKRAM SINGH</v>
      </c>
      <c r="K8" s="16" t="str">
        <f t="shared" si="6"/>
        <v>vikram singh</v>
      </c>
      <c r="L8" s="4"/>
    </row>
    <row r="9">
      <c r="A9" s="5" t="s">
        <v>111</v>
      </c>
      <c r="B9" s="6" t="s">
        <v>112</v>
      </c>
      <c r="C9" s="5">
        <v>62.0</v>
      </c>
      <c r="D9" s="5">
        <v>55.0</v>
      </c>
      <c r="E9" s="5">
        <v>70.0</v>
      </c>
      <c r="F9" s="14">
        <f t="shared" si="1"/>
        <v>62.33333333</v>
      </c>
      <c r="G9" s="16" t="str">
        <f t="shared" si="2"/>
        <v>D</v>
      </c>
      <c r="H9" s="16" t="str">
        <f t="shared" si="3"/>
        <v>Needs Improvement</v>
      </c>
      <c r="I9" s="16" t="str">
        <f t="shared" si="4"/>
        <v>Ananya</v>
      </c>
      <c r="J9" s="16" t="str">
        <f t="shared" si="5"/>
        <v>ANANYA GUPTA</v>
      </c>
      <c r="K9" s="16" t="str">
        <f t="shared" si="6"/>
        <v>ananya gupta</v>
      </c>
      <c r="L9" s="4"/>
    </row>
    <row r="10">
      <c r="A10" s="5" t="s">
        <v>113</v>
      </c>
      <c r="B10" s="6" t="s">
        <v>114</v>
      </c>
      <c r="C10" s="5">
        <v>88.0</v>
      </c>
      <c r="D10" s="5">
        <v>85.0</v>
      </c>
      <c r="E10" s="5">
        <v>90.0</v>
      </c>
      <c r="F10" s="14">
        <f t="shared" si="1"/>
        <v>87.66666667</v>
      </c>
      <c r="G10" s="16" t="str">
        <f t="shared" si="2"/>
        <v>B</v>
      </c>
      <c r="H10" s="16" t="str">
        <f t="shared" si="3"/>
        <v>Excellent</v>
      </c>
      <c r="I10" s="16" t="str">
        <f t="shared" si="4"/>
        <v>Rohan</v>
      </c>
      <c r="J10" s="16" t="str">
        <f t="shared" si="5"/>
        <v>ROHAN MEHTA</v>
      </c>
      <c r="K10" s="16" t="str">
        <f t="shared" si="6"/>
        <v>rohan mehta</v>
      </c>
      <c r="L10" s="4"/>
    </row>
    <row r="11">
      <c r="A11" s="5" t="s">
        <v>117</v>
      </c>
      <c r="B11" s="6" t="s">
        <v>118</v>
      </c>
      <c r="C11" s="5">
        <v>55.0</v>
      </c>
      <c r="D11" s="5">
        <v>48.0</v>
      </c>
      <c r="E11" s="5">
        <v>52.0</v>
      </c>
      <c r="F11" s="14">
        <f t="shared" si="1"/>
        <v>51.66666667</v>
      </c>
      <c r="G11" s="16" t="str">
        <f t="shared" si="2"/>
        <v>F</v>
      </c>
      <c r="H11" s="16" t="str">
        <f t="shared" si="3"/>
        <v>Needs Improvement</v>
      </c>
      <c r="I11" s="16" t="str">
        <f t="shared" si="4"/>
        <v>Kavita</v>
      </c>
      <c r="J11" s="16" t="str">
        <f t="shared" si="5"/>
        <v>KAVITA JOSHI</v>
      </c>
      <c r="K11" s="16" t="str">
        <f t="shared" si="6"/>
        <v>kavita joshi</v>
      </c>
      <c r="L11" s="4"/>
    </row>
    <row r="12">
      <c r="A12" s="5" t="s">
        <v>121</v>
      </c>
      <c r="B12" s="6" t="s">
        <v>123</v>
      </c>
      <c r="C12" s="5">
        <v>73.0</v>
      </c>
      <c r="D12" s="5">
        <v>79.0</v>
      </c>
      <c r="E12" s="5">
        <v>68.0</v>
      </c>
      <c r="F12" s="14">
        <f t="shared" si="1"/>
        <v>73.33333333</v>
      </c>
      <c r="G12" s="16" t="str">
        <f t="shared" si="2"/>
        <v>C</v>
      </c>
      <c r="H12" s="16" t="str">
        <f t="shared" si="3"/>
        <v>Needs Improvement</v>
      </c>
      <c r="I12" s="16" t="str">
        <f t="shared" si="4"/>
        <v>Arjun</v>
      </c>
      <c r="J12" s="16" t="str">
        <f t="shared" si="5"/>
        <v>ARJUN NAIR</v>
      </c>
      <c r="K12" s="16" t="str">
        <f t="shared" si="6"/>
        <v>arjun nair</v>
      </c>
      <c r="L12" s="4"/>
    </row>
    <row r="13">
      <c r="A13" s="5" t="s">
        <v>125</v>
      </c>
      <c r="B13" s="6" t="s">
        <v>127</v>
      </c>
      <c r="C13" s="5">
        <v>91.0</v>
      </c>
      <c r="D13" s="5">
        <v>94.0</v>
      </c>
      <c r="E13" s="5">
        <v>89.0</v>
      </c>
      <c r="F13" s="14">
        <f t="shared" si="1"/>
        <v>91.33333333</v>
      </c>
      <c r="G13" s="16" t="str">
        <f t="shared" si="2"/>
        <v>A</v>
      </c>
      <c r="H13" s="16" t="str">
        <f t="shared" si="3"/>
        <v>Excellent</v>
      </c>
      <c r="I13" s="16" t="str">
        <f t="shared" si="4"/>
        <v>Meera</v>
      </c>
      <c r="J13" s="16" t="str">
        <f t="shared" si="5"/>
        <v>MEERA IYER</v>
      </c>
      <c r="K13" s="16" t="str">
        <f t="shared" si="6"/>
        <v>meera iyer</v>
      </c>
      <c r="L13" s="4"/>
    </row>
    <row r="14">
      <c r="A14" s="5" t="s">
        <v>128</v>
      </c>
      <c r="B14" s="6" t="s">
        <v>129</v>
      </c>
      <c r="C14" s="5">
        <v>40.0</v>
      </c>
      <c r="D14" s="5">
        <v>35.0</v>
      </c>
      <c r="E14" s="5">
        <v>45.0</v>
      </c>
      <c r="F14" s="14">
        <f t="shared" si="1"/>
        <v>40</v>
      </c>
      <c r="G14" s="16" t="str">
        <f t="shared" si="2"/>
        <v>F</v>
      </c>
      <c r="H14" s="16" t="str">
        <f t="shared" si="3"/>
        <v>Needs Improvement</v>
      </c>
      <c r="I14" s="16" t="str">
        <f t="shared" si="4"/>
        <v>Siddharth</v>
      </c>
      <c r="J14" s="16" t="str">
        <f t="shared" si="5"/>
        <v>SIDDHARTH RAO</v>
      </c>
      <c r="K14" s="16" t="str">
        <f t="shared" si="6"/>
        <v>siddharth rao</v>
      </c>
      <c r="L14" s="4"/>
    </row>
    <row r="15">
      <c r="A15" s="5" t="s">
        <v>130</v>
      </c>
      <c r="B15" s="6" t="s">
        <v>131</v>
      </c>
      <c r="C15" s="5">
        <v>82.0</v>
      </c>
      <c r="D15" s="5">
        <v>87.0</v>
      </c>
      <c r="E15" s="5">
        <v>80.0</v>
      </c>
      <c r="F15" s="14">
        <f t="shared" si="1"/>
        <v>83</v>
      </c>
      <c r="G15" s="16" t="str">
        <f t="shared" si="2"/>
        <v>B</v>
      </c>
      <c r="H15" s="16" t="str">
        <f t="shared" si="3"/>
        <v>Excellent</v>
      </c>
      <c r="I15" s="16" t="str">
        <f t="shared" si="4"/>
        <v>Divya</v>
      </c>
      <c r="J15" s="16" t="str">
        <f t="shared" si="5"/>
        <v>DIVYA KRISHNAN</v>
      </c>
      <c r="K15" s="16" t="str">
        <f t="shared" si="6"/>
        <v>divya krishnan</v>
      </c>
      <c r="L15" s="4"/>
    </row>
    <row r="18">
      <c r="A18" s="26" t="s">
        <v>133</v>
      </c>
      <c r="B18" s="9"/>
      <c r="C18" s="9"/>
      <c r="D18" s="9"/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20">
      <c r="A20" s="20" t="s">
        <v>135</v>
      </c>
      <c r="B20" s="20" t="s">
        <v>136</v>
      </c>
      <c r="C20" s="20" t="s">
        <v>137</v>
      </c>
    </row>
    <row r="21">
      <c r="A21" s="4" t="s">
        <v>138</v>
      </c>
      <c r="B21" s="29">
        <f>COUNTIF(C4:C15,"&gt;50")</f>
        <v>10</v>
      </c>
      <c r="C21" s="31">
        <f>COUNTIF(C4:C15,"&gt;50")</f>
        <v>10</v>
      </c>
    </row>
    <row r="22">
      <c r="A22" s="4" t="s">
        <v>140</v>
      </c>
      <c r="B22" s="29">
        <f>COUNTIF(F4:F15,"&gt;60")</f>
        <v>9</v>
      </c>
      <c r="C22" s="31">
        <f>COUNTIF(F4:F15,"&gt;60")</f>
        <v>9</v>
      </c>
    </row>
    <row r="23">
      <c r="A23" s="4" t="s">
        <v>143</v>
      </c>
      <c r="B23" s="29">
        <f>AVERAGEIF(C4:C15,"&gt;60")</f>
        <v>82.88888889</v>
      </c>
      <c r="C23" s="33">
        <f>AVERAGEIF(C4:C15,"&gt;60")</f>
        <v>82.88888889</v>
      </c>
    </row>
    <row r="24">
      <c r="A24" s="4" t="s">
        <v>146</v>
      </c>
      <c r="B24" s="29">
        <f>COUNTIFS(C4:C15,"&gt;80",D4:D15,"&gt;80")</f>
        <v>5</v>
      </c>
      <c r="C24" s="31">
        <f>COUNTIFS(C4:C15,"&gt;80",D4:D15,"&gt;80")</f>
        <v>5</v>
      </c>
    </row>
    <row r="26">
      <c r="A26" s="37" t="s">
        <v>149</v>
      </c>
      <c r="B26" s="9"/>
      <c r="C26" s="9"/>
      <c r="D26" s="9"/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8">
      <c r="A28" s="39" t="s">
        <v>1</v>
      </c>
      <c r="B28" s="39" t="s">
        <v>3</v>
      </c>
      <c r="C28" s="39" t="s">
        <v>5</v>
      </c>
      <c r="D28" s="39" t="s">
        <v>6</v>
      </c>
      <c r="E28" s="39" t="s">
        <v>8</v>
      </c>
    </row>
    <row r="29">
      <c r="A29" s="40" t="s">
        <v>62</v>
      </c>
      <c r="B29" s="41" t="s">
        <v>63</v>
      </c>
      <c r="C29" s="40">
        <v>92.0</v>
      </c>
      <c r="D29" s="40">
        <v>88.0</v>
      </c>
      <c r="E29" s="42">
        <v>88.33</v>
      </c>
    </row>
    <row r="30">
      <c r="A30" s="40" t="s">
        <v>76</v>
      </c>
      <c r="B30" s="41" t="s">
        <v>77</v>
      </c>
      <c r="C30" s="40">
        <v>95.0</v>
      </c>
      <c r="D30" s="40">
        <v>90.0</v>
      </c>
      <c r="E30" s="42">
        <v>91.0</v>
      </c>
    </row>
    <row r="31">
      <c r="A31" s="40" t="s">
        <v>113</v>
      </c>
      <c r="B31" s="41" t="s">
        <v>114</v>
      </c>
      <c r="C31" s="40">
        <v>88.0</v>
      </c>
      <c r="D31" s="40">
        <v>85.0</v>
      </c>
      <c r="E31" s="42">
        <v>87.67</v>
      </c>
    </row>
    <row r="32">
      <c r="A32" s="40" t="s">
        <v>125</v>
      </c>
      <c r="B32" s="41" t="s">
        <v>127</v>
      </c>
      <c r="C32" s="40">
        <v>91.0</v>
      </c>
      <c r="D32" s="40">
        <v>94.0</v>
      </c>
      <c r="E32" s="42">
        <v>91.33</v>
      </c>
    </row>
    <row r="33">
      <c r="A33" s="40" t="s">
        <v>130</v>
      </c>
      <c r="B33" s="41" t="s">
        <v>131</v>
      </c>
      <c r="C33" s="40">
        <v>82.0</v>
      </c>
      <c r="D33" s="40">
        <v>87.0</v>
      </c>
      <c r="E33" s="42">
        <v>83.0</v>
      </c>
    </row>
    <row r="35">
      <c r="A35" s="26" t="s">
        <v>161</v>
      </c>
      <c r="B35" s="9"/>
      <c r="C35" s="10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4" t="s">
        <v>162</v>
      </c>
      <c r="B36" s="21" t="s">
        <v>111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4" t="s">
        <v>165</v>
      </c>
      <c r="B37" s="24" t="str">
        <f>VLOOKUP(B36,A2:B13,2,FALSE())</f>
        <v>Ananya Gupta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4" t="s">
        <v>168</v>
      </c>
      <c r="B38" s="34">
        <f>VLOOKUP(B36,A2:C13,3,FALSE())</f>
        <v>62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</sheetData>
  <mergeCells count="3">
    <mergeCell ref="A18:E18"/>
    <mergeCell ref="A26:E26"/>
    <mergeCell ref="A35:C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</row>
    <row r="3">
      <c r="A3" s="8" t="s">
        <v>16</v>
      </c>
      <c r="B3" s="9"/>
      <c r="C3" s="9"/>
      <c r="D3" s="10"/>
      <c r="E3" s="4"/>
      <c r="F3" s="4"/>
      <c r="G3" s="4"/>
      <c r="H3" s="4"/>
      <c r="I3" s="4"/>
      <c r="J3" s="4"/>
    </row>
    <row r="4">
      <c r="A4" s="2" t="s">
        <v>27</v>
      </c>
      <c r="B4" s="2" t="s">
        <v>29</v>
      </c>
      <c r="C4" s="2" t="s">
        <v>31</v>
      </c>
      <c r="D4" s="2" t="s">
        <v>32</v>
      </c>
      <c r="E4" s="4"/>
      <c r="F4" s="4"/>
      <c r="G4" s="4"/>
      <c r="H4" s="4"/>
      <c r="I4" s="4"/>
      <c r="J4" s="4"/>
    </row>
    <row r="5">
      <c r="A5" s="12" t="s">
        <v>33</v>
      </c>
      <c r="B5" s="12" t="s">
        <v>34</v>
      </c>
      <c r="C5" s="15">
        <v>85000.0</v>
      </c>
      <c r="D5" s="12" t="s">
        <v>35</v>
      </c>
      <c r="E5" s="4"/>
      <c r="F5" s="4"/>
      <c r="G5" s="4"/>
      <c r="H5" s="4"/>
      <c r="I5" s="4"/>
      <c r="J5" s="4"/>
    </row>
    <row r="6">
      <c r="A6" s="12" t="s">
        <v>36</v>
      </c>
      <c r="B6" s="12" t="s">
        <v>37</v>
      </c>
      <c r="C6" s="15">
        <v>1200.0</v>
      </c>
      <c r="D6" s="12" t="s">
        <v>38</v>
      </c>
      <c r="E6" s="4"/>
      <c r="F6" s="4"/>
      <c r="G6" s="4"/>
      <c r="H6" s="4"/>
      <c r="I6" s="4"/>
      <c r="J6" s="4"/>
    </row>
    <row r="7">
      <c r="A7" s="12" t="s">
        <v>39</v>
      </c>
      <c r="B7" s="12" t="s">
        <v>40</v>
      </c>
      <c r="C7" s="15">
        <v>2500.0</v>
      </c>
      <c r="D7" s="12" t="s">
        <v>38</v>
      </c>
      <c r="E7" s="4"/>
      <c r="F7" s="4"/>
      <c r="G7" s="4"/>
      <c r="H7" s="4"/>
      <c r="I7" s="4"/>
      <c r="J7" s="4"/>
    </row>
    <row r="8">
      <c r="A8" s="12" t="s">
        <v>41</v>
      </c>
      <c r="B8" s="12" t="s">
        <v>42</v>
      </c>
      <c r="C8" s="15">
        <v>18500.0</v>
      </c>
      <c r="D8" s="12" t="s">
        <v>35</v>
      </c>
      <c r="E8" s="4"/>
      <c r="F8" s="4"/>
      <c r="G8" s="4"/>
      <c r="H8" s="4"/>
      <c r="I8" s="4"/>
      <c r="J8" s="4"/>
    </row>
    <row r="9">
      <c r="A9" s="12" t="s">
        <v>43</v>
      </c>
      <c r="B9" s="12" t="s">
        <v>44</v>
      </c>
      <c r="C9" s="15">
        <v>4500.0</v>
      </c>
      <c r="D9" s="12" t="s">
        <v>38</v>
      </c>
      <c r="E9" s="4"/>
      <c r="F9" s="4"/>
      <c r="G9" s="4"/>
      <c r="H9" s="4"/>
      <c r="I9" s="4"/>
      <c r="J9" s="4"/>
    </row>
    <row r="10">
      <c r="A10" s="12" t="s">
        <v>45</v>
      </c>
      <c r="B10" s="12" t="s">
        <v>46</v>
      </c>
      <c r="C10" s="15">
        <v>3200.0</v>
      </c>
      <c r="D10" s="12" t="s">
        <v>35</v>
      </c>
      <c r="E10" s="4"/>
      <c r="F10" s="4"/>
      <c r="G10" s="4"/>
      <c r="H10" s="4"/>
      <c r="I10" s="4"/>
      <c r="J10" s="4"/>
    </row>
    <row r="11">
      <c r="A11" s="12" t="s">
        <v>47</v>
      </c>
      <c r="B11" s="12" t="s">
        <v>48</v>
      </c>
      <c r="C11" s="15">
        <v>1800.0</v>
      </c>
      <c r="D11" s="12" t="s">
        <v>38</v>
      </c>
      <c r="E11" s="4"/>
      <c r="F11" s="4"/>
      <c r="G11" s="4"/>
      <c r="H11" s="4"/>
      <c r="I11" s="4"/>
      <c r="J11" s="4"/>
    </row>
    <row r="12">
      <c r="A12" s="12" t="s">
        <v>49</v>
      </c>
      <c r="B12" s="12" t="s">
        <v>50</v>
      </c>
      <c r="C12" s="15">
        <v>9500.0</v>
      </c>
      <c r="D12" s="12" t="s">
        <v>35</v>
      </c>
      <c r="E12" s="4"/>
      <c r="F12" s="4"/>
      <c r="G12" s="4"/>
      <c r="H12" s="4"/>
      <c r="I12" s="4"/>
      <c r="J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</row>
    <row r="15">
      <c r="A15" s="8" t="s">
        <v>51</v>
      </c>
      <c r="B15" s="9"/>
      <c r="C15" s="9"/>
      <c r="D15" s="9"/>
      <c r="E15" s="9"/>
      <c r="F15" s="9"/>
      <c r="G15" s="9"/>
      <c r="H15" s="10"/>
      <c r="I15" s="4"/>
      <c r="J15" s="4"/>
    </row>
    <row r="16">
      <c r="A16" s="7" t="s">
        <v>52</v>
      </c>
      <c r="B16" s="7" t="s">
        <v>53</v>
      </c>
      <c r="C16" s="7" t="s">
        <v>27</v>
      </c>
      <c r="D16" s="7" t="s">
        <v>54</v>
      </c>
      <c r="E16" s="7" t="s">
        <v>55</v>
      </c>
      <c r="F16" s="7" t="s">
        <v>56</v>
      </c>
      <c r="G16" s="7" t="s">
        <v>57</v>
      </c>
      <c r="H16" s="7" t="s">
        <v>58</v>
      </c>
      <c r="I16" s="7" t="s">
        <v>59</v>
      </c>
      <c r="J16" s="7" t="s">
        <v>60</v>
      </c>
    </row>
    <row r="17">
      <c r="A17" s="5" t="s">
        <v>61</v>
      </c>
      <c r="B17" s="11">
        <v>45672.0</v>
      </c>
      <c r="C17" s="5" t="s">
        <v>33</v>
      </c>
      <c r="D17" s="16" t="str">
        <f t="shared" ref="D17:D28" si="1">VLOOKUP(C17,$A$5:$D$12,2,FALSE())</f>
        <v>Laptop Pro 15</v>
      </c>
      <c r="E17" s="17">
        <f t="shared" ref="E17:E28" si="2">VLOOKUP(C17,$A$5:$D$12,3,FALSE())</f>
        <v>85000</v>
      </c>
      <c r="F17" s="5">
        <v>2.0</v>
      </c>
      <c r="G17" s="5" t="s">
        <v>71</v>
      </c>
      <c r="H17" s="5" t="s">
        <v>72</v>
      </c>
      <c r="I17" s="17">
        <f t="shared" ref="I17:I28" si="3">E17*F17</f>
        <v>170000</v>
      </c>
      <c r="J17" s="16" t="str">
        <f t="shared" ref="J17:J28" si="4">IF(OR(E17&gt;10000,F17&gt;=5),"Yes","No")</f>
        <v>Yes</v>
      </c>
    </row>
    <row r="18">
      <c r="A18" s="5" t="s">
        <v>81</v>
      </c>
      <c r="B18" s="11">
        <v>45675.0</v>
      </c>
      <c r="C18" s="5" t="s">
        <v>36</v>
      </c>
      <c r="D18" s="16" t="str">
        <f t="shared" si="1"/>
        <v>Wireless Mouse</v>
      </c>
      <c r="E18" s="17">
        <f t="shared" si="2"/>
        <v>1200</v>
      </c>
      <c r="F18" s="5">
        <v>5.0</v>
      </c>
      <c r="G18" s="5" t="s">
        <v>82</v>
      </c>
      <c r="H18" s="5" t="s">
        <v>83</v>
      </c>
      <c r="I18" s="17">
        <f t="shared" si="3"/>
        <v>6000</v>
      </c>
      <c r="J18" s="16" t="str">
        <f t="shared" si="4"/>
        <v>Yes</v>
      </c>
    </row>
    <row r="19">
      <c r="A19" s="5" t="s">
        <v>86</v>
      </c>
      <c r="B19" s="11">
        <v>45691.0</v>
      </c>
      <c r="C19" s="5" t="s">
        <v>41</v>
      </c>
      <c r="D19" s="16" t="str">
        <f t="shared" si="1"/>
        <v>Monitor 27"</v>
      </c>
      <c r="E19" s="17">
        <f t="shared" si="2"/>
        <v>18500</v>
      </c>
      <c r="F19" s="5">
        <v>1.0</v>
      </c>
      <c r="G19" s="5" t="s">
        <v>87</v>
      </c>
      <c r="H19" s="5" t="s">
        <v>88</v>
      </c>
      <c r="I19" s="17">
        <f t="shared" si="3"/>
        <v>18500</v>
      </c>
      <c r="J19" s="16" t="str">
        <f t="shared" si="4"/>
        <v>Yes</v>
      </c>
    </row>
    <row r="20">
      <c r="A20" s="5" t="s">
        <v>89</v>
      </c>
      <c r="B20" s="11">
        <v>45698.0</v>
      </c>
      <c r="C20" s="5" t="s">
        <v>39</v>
      </c>
      <c r="D20" s="16" t="str">
        <f t="shared" si="1"/>
        <v>USB-C Hub</v>
      </c>
      <c r="E20" s="17">
        <f t="shared" si="2"/>
        <v>2500</v>
      </c>
      <c r="F20" s="5">
        <v>3.0</v>
      </c>
      <c r="G20" s="5" t="s">
        <v>71</v>
      </c>
      <c r="H20" s="5" t="s">
        <v>72</v>
      </c>
      <c r="I20" s="17">
        <f t="shared" si="3"/>
        <v>7500</v>
      </c>
      <c r="J20" s="16" t="str">
        <f t="shared" si="4"/>
        <v>No</v>
      </c>
    </row>
    <row r="21">
      <c r="A21" s="5" t="s">
        <v>93</v>
      </c>
      <c r="B21" s="11">
        <v>45710.0</v>
      </c>
      <c r="C21" s="5" t="s">
        <v>49</v>
      </c>
      <c r="D21" s="16" t="str">
        <f t="shared" si="1"/>
        <v>Noise Cancelling Headphones</v>
      </c>
      <c r="E21" s="17">
        <f t="shared" si="2"/>
        <v>9500</v>
      </c>
      <c r="F21" s="5">
        <v>2.0</v>
      </c>
      <c r="G21" s="5" t="s">
        <v>94</v>
      </c>
      <c r="H21" s="5" t="s">
        <v>95</v>
      </c>
      <c r="I21" s="17">
        <f t="shared" si="3"/>
        <v>19000</v>
      </c>
      <c r="J21" s="16" t="str">
        <f t="shared" si="4"/>
        <v>No</v>
      </c>
    </row>
    <row r="22">
      <c r="A22" s="5" t="s">
        <v>96</v>
      </c>
      <c r="B22" s="11">
        <v>45721.0</v>
      </c>
      <c r="C22" s="5" t="s">
        <v>43</v>
      </c>
      <c r="D22" s="16" t="str">
        <f t="shared" si="1"/>
        <v>Keyboard Mechanical</v>
      </c>
      <c r="E22" s="17">
        <f t="shared" si="2"/>
        <v>4500</v>
      </c>
      <c r="F22" s="5">
        <v>4.0</v>
      </c>
      <c r="G22" s="5" t="s">
        <v>82</v>
      </c>
      <c r="H22" s="5" t="s">
        <v>83</v>
      </c>
      <c r="I22" s="17">
        <f t="shared" si="3"/>
        <v>18000</v>
      </c>
      <c r="J22" s="16" t="str">
        <f t="shared" si="4"/>
        <v>No</v>
      </c>
    </row>
    <row r="23">
      <c r="A23" s="5" t="s">
        <v>99</v>
      </c>
      <c r="B23" s="11">
        <v>45728.0</v>
      </c>
      <c r="C23" s="5" t="s">
        <v>33</v>
      </c>
      <c r="D23" s="16" t="str">
        <f t="shared" si="1"/>
        <v>Laptop Pro 15</v>
      </c>
      <c r="E23" s="17">
        <f t="shared" si="2"/>
        <v>85000</v>
      </c>
      <c r="F23" s="5">
        <v>1.0</v>
      </c>
      <c r="G23" s="5" t="s">
        <v>87</v>
      </c>
      <c r="H23" s="5" t="s">
        <v>88</v>
      </c>
      <c r="I23" s="17">
        <f t="shared" si="3"/>
        <v>85000</v>
      </c>
      <c r="J23" s="16" t="str">
        <f t="shared" si="4"/>
        <v>Yes</v>
      </c>
    </row>
    <row r="24">
      <c r="A24" s="5" t="s">
        <v>101</v>
      </c>
      <c r="B24" s="11">
        <v>45736.0</v>
      </c>
      <c r="C24" s="5" t="s">
        <v>45</v>
      </c>
      <c r="D24" s="16" t="str">
        <f t="shared" si="1"/>
        <v>Webcam HD</v>
      </c>
      <c r="E24" s="17">
        <f t="shared" si="2"/>
        <v>3200</v>
      </c>
      <c r="F24" s="5">
        <v>2.0</v>
      </c>
      <c r="G24" s="5" t="s">
        <v>71</v>
      </c>
      <c r="H24" s="5" t="s">
        <v>72</v>
      </c>
      <c r="I24" s="17">
        <f t="shared" si="3"/>
        <v>6400</v>
      </c>
      <c r="J24" s="16" t="str">
        <f t="shared" si="4"/>
        <v>No</v>
      </c>
    </row>
    <row r="25">
      <c r="A25" s="5" t="s">
        <v>103</v>
      </c>
      <c r="B25" s="11">
        <v>45749.0</v>
      </c>
      <c r="C25" s="5" t="s">
        <v>47</v>
      </c>
      <c r="D25" s="16" t="str">
        <f t="shared" si="1"/>
        <v>Laptop Stand</v>
      </c>
      <c r="E25" s="17">
        <f t="shared" si="2"/>
        <v>1800</v>
      </c>
      <c r="F25" s="5">
        <v>6.0</v>
      </c>
      <c r="G25" s="5" t="s">
        <v>94</v>
      </c>
      <c r="H25" s="5" t="s">
        <v>95</v>
      </c>
      <c r="I25" s="17">
        <f t="shared" si="3"/>
        <v>10800</v>
      </c>
      <c r="J25" s="16" t="str">
        <f t="shared" si="4"/>
        <v>Yes</v>
      </c>
    </row>
    <row r="26">
      <c r="A26" s="5" t="s">
        <v>106</v>
      </c>
      <c r="B26" s="11">
        <v>45762.0</v>
      </c>
      <c r="C26" s="5" t="s">
        <v>36</v>
      </c>
      <c r="D26" s="16" t="str">
        <f t="shared" si="1"/>
        <v>Wireless Mouse</v>
      </c>
      <c r="E26" s="17">
        <f t="shared" si="2"/>
        <v>1200</v>
      </c>
      <c r="F26" s="5">
        <v>8.0</v>
      </c>
      <c r="G26" s="5" t="s">
        <v>82</v>
      </c>
      <c r="H26" s="5" t="s">
        <v>83</v>
      </c>
      <c r="I26" s="17">
        <f t="shared" si="3"/>
        <v>9600</v>
      </c>
      <c r="J26" s="16" t="str">
        <f t="shared" si="4"/>
        <v>Yes</v>
      </c>
    </row>
    <row r="27">
      <c r="A27" s="5" t="s">
        <v>107</v>
      </c>
      <c r="B27" s="11">
        <v>45778.0</v>
      </c>
      <c r="C27" s="5" t="s">
        <v>41</v>
      </c>
      <c r="D27" s="16" t="str">
        <f t="shared" si="1"/>
        <v>Monitor 27"</v>
      </c>
      <c r="E27" s="17">
        <f t="shared" si="2"/>
        <v>18500</v>
      </c>
      <c r="F27" s="5">
        <v>2.0</v>
      </c>
      <c r="G27" s="5" t="s">
        <v>71</v>
      </c>
      <c r="H27" s="5" t="s">
        <v>72</v>
      </c>
      <c r="I27" s="17">
        <f t="shared" si="3"/>
        <v>37000</v>
      </c>
      <c r="J27" s="16" t="str">
        <f t="shared" si="4"/>
        <v>Yes</v>
      </c>
    </row>
    <row r="28">
      <c r="A28" s="5" t="s">
        <v>109</v>
      </c>
      <c r="B28" s="11">
        <v>45795.0</v>
      </c>
      <c r="C28" s="5" t="s">
        <v>49</v>
      </c>
      <c r="D28" s="16" t="str">
        <f t="shared" si="1"/>
        <v>Noise Cancelling Headphones</v>
      </c>
      <c r="E28" s="17">
        <f t="shared" si="2"/>
        <v>9500</v>
      </c>
      <c r="F28" s="5">
        <v>1.0</v>
      </c>
      <c r="G28" s="5" t="s">
        <v>87</v>
      </c>
      <c r="H28" s="5" t="s">
        <v>88</v>
      </c>
      <c r="I28" s="17">
        <f t="shared" si="3"/>
        <v>9500</v>
      </c>
      <c r="J28" s="16" t="str">
        <f t="shared" si="4"/>
        <v>No</v>
      </c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>
      <c r="A31" s="19" t="s">
        <v>116</v>
      </c>
      <c r="B31" s="9"/>
      <c r="C31" s="9"/>
      <c r="D31" s="10"/>
      <c r="E31" s="4"/>
      <c r="F31" s="4"/>
      <c r="G31" s="4"/>
      <c r="H31" s="4"/>
      <c r="I31" s="4"/>
      <c r="J31" s="4"/>
    </row>
    <row r="32">
      <c r="A32" s="20" t="s">
        <v>27</v>
      </c>
      <c r="B32" s="20" t="s">
        <v>31</v>
      </c>
      <c r="C32" s="20" t="s">
        <v>120</v>
      </c>
      <c r="D32" s="20" t="s">
        <v>122</v>
      </c>
      <c r="E32" s="4"/>
      <c r="F32" s="4"/>
      <c r="G32" s="4"/>
      <c r="H32" s="4"/>
      <c r="I32" s="4"/>
      <c r="J32" s="4"/>
    </row>
    <row r="33">
      <c r="A33" s="22" t="str">
        <f t="shared" ref="A33:A40" si="5">A5</f>
        <v>P101</v>
      </c>
      <c r="B33" s="23">
        <f t="shared" ref="B33:B40" si="6">C5</f>
        <v>85000</v>
      </c>
      <c r="C33" s="25">
        <f t="shared" ref="C33:C40" si="7">IF(B33&gt;50000,0.15,IF(B33&gt;10000,0.1,IF(B33&gt;5000,0.05,0)))</f>
        <v>0.15</v>
      </c>
      <c r="D33" s="27">
        <f t="shared" ref="D33:D40" si="8">B33*(1-C33)</f>
        <v>72250</v>
      </c>
      <c r="E33" s="4"/>
      <c r="F33" s="4"/>
      <c r="G33" s="4"/>
      <c r="H33" s="4"/>
      <c r="I33" s="4"/>
      <c r="J33" s="4"/>
    </row>
    <row r="34">
      <c r="A34" s="22" t="str">
        <f t="shared" si="5"/>
        <v>P102</v>
      </c>
      <c r="B34" s="23">
        <f t="shared" si="6"/>
        <v>1200</v>
      </c>
      <c r="C34" s="25">
        <f t="shared" si="7"/>
        <v>0</v>
      </c>
      <c r="D34" s="27">
        <f t="shared" si="8"/>
        <v>1200</v>
      </c>
      <c r="E34" s="4"/>
      <c r="F34" s="4"/>
      <c r="G34" s="4"/>
      <c r="H34" s="4"/>
      <c r="I34" s="4"/>
      <c r="J34" s="4"/>
    </row>
    <row r="35">
      <c r="A35" s="22" t="str">
        <f t="shared" si="5"/>
        <v>P103</v>
      </c>
      <c r="B35" s="23">
        <f t="shared" si="6"/>
        <v>2500</v>
      </c>
      <c r="C35" s="25">
        <f t="shared" si="7"/>
        <v>0</v>
      </c>
      <c r="D35" s="27">
        <f t="shared" si="8"/>
        <v>2500</v>
      </c>
      <c r="E35" s="4"/>
      <c r="F35" s="4"/>
      <c r="G35" s="4"/>
      <c r="H35" s="4"/>
      <c r="I35" s="4"/>
      <c r="J35" s="4"/>
    </row>
    <row r="36">
      <c r="A36" s="22" t="str">
        <f t="shared" si="5"/>
        <v>P104</v>
      </c>
      <c r="B36" s="23">
        <f t="shared" si="6"/>
        <v>18500</v>
      </c>
      <c r="C36" s="25">
        <f t="shared" si="7"/>
        <v>0.1</v>
      </c>
      <c r="D36" s="27">
        <f t="shared" si="8"/>
        <v>16650</v>
      </c>
      <c r="E36" s="4"/>
      <c r="F36" s="4"/>
      <c r="G36" s="4"/>
      <c r="H36" s="4"/>
      <c r="I36" s="4"/>
      <c r="J36" s="4"/>
    </row>
    <row r="37">
      <c r="A37" s="22" t="str">
        <f t="shared" si="5"/>
        <v>P105</v>
      </c>
      <c r="B37" s="23">
        <f t="shared" si="6"/>
        <v>4500</v>
      </c>
      <c r="C37" s="25">
        <f t="shared" si="7"/>
        <v>0</v>
      </c>
      <c r="D37" s="27">
        <f t="shared" si="8"/>
        <v>4500</v>
      </c>
      <c r="E37" s="4"/>
      <c r="F37" s="4"/>
      <c r="G37" s="4"/>
      <c r="H37" s="4"/>
      <c r="I37" s="4"/>
      <c r="J37" s="4"/>
    </row>
    <row r="38">
      <c r="A38" s="22" t="str">
        <f t="shared" si="5"/>
        <v>P106</v>
      </c>
      <c r="B38" s="23">
        <f t="shared" si="6"/>
        <v>3200</v>
      </c>
      <c r="C38" s="25">
        <f t="shared" si="7"/>
        <v>0</v>
      </c>
      <c r="D38" s="27">
        <f t="shared" si="8"/>
        <v>3200</v>
      </c>
      <c r="E38" s="4"/>
      <c r="F38" s="4"/>
      <c r="G38" s="4"/>
      <c r="H38" s="4"/>
      <c r="I38" s="4"/>
      <c r="J38" s="4"/>
    </row>
    <row r="39">
      <c r="A39" s="22" t="str">
        <f t="shared" si="5"/>
        <v>P107</v>
      </c>
      <c r="B39" s="23">
        <f t="shared" si="6"/>
        <v>1800</v>
      </c>
      <c r="C39" s="25">
        <f t="shared" si="7"/>
        <v>0</v>
      </c>
      <c r="D39" s="27">
        <f t="shared" si="8"/>
        <v>1800</v>
      </c>
      <c r="E39" s="4"/>
      <c r="F39" s="4"/>
      <c r="G39" s="4"/>
      <c r="H39" s="4"/>
      <c r="I39" s="4"/>
      <c r="J39" s="4"/>
    </row>
    <row r="40">
      <c r="A40" s="22" t="str">
        <f t="shared" si="5"/>
        <v>P108</v>
      </c>
      <c r="B40" s="23">
        <f t="shared" si="6"/>
        <v>9500</v>
      </c>
      <c r="C40" s="25">
        <f t="shared" si="7"/>
        <v>0.05</v>
      </c>
      <c r="D40" s="27">
        <f t="shared" si="8"/>
        <v>9025</v>
      </c>
      <c r="E40" s="4"/>
      <c r="F40" s="4"/>
      <c r="G40" s="4"/>
      <c r="H40" s="4"/>
      <c r="I40" s="4"/>
      <c r="J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>
      <c r="A43" s="36" t="s">
        <v>148</v>
      </c>
      <c r="B43" s="9"/>
      <c r="C43" s="9"/>
      <c r="D43" s="10"/>
      <c r="E43" s="4"/>
      <c r="F43" s="4"/>
      <c r="G43" s="4"/>
      <c r="H43" s="4"/>
      <c r="I43" s="4"/>
      <c r="J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</row>
    <row r="45">
      <c r="A45" s="20" t="s">
        <v>135</v>
      </c>
      <c r="B45" s="20" t="s">
        <v>151</v>
      </c>
      <c r="C45" s="20" t="s">
        <v>152</v>
      </c>
      <c r="D45" s="4"/>
      <c r="E45" s="4"/>
      <c r="F45" s="4"/>
      <c r="G45" s="4"/>
      <c r="H45" s="4"/>
      <c r="I45" s="4"/>
      <c r="J45" s="4"/>
    </row>
    <row r="46">
      <c r="A46" s="4" t="s">
        <v>153</v>
      </c>
      <c r="B46" s="4" t="s">
        <v>154</v>
      </c>
      <c r="C46" s="43">
        <f>SUMIF(G17:G28,"North",I17:I28)</f>
        <v>220900</v>
      </c>
      <c r="D46" s="4"/>
      <c r="E46" s="4"/>
      <c r="F46" s="4"/>
      <c r="G46" s="4"/>
      <c r="H46" s="4"/>
      <c r="I46" s="4"/>
      <c r="J46" s="4"/>
    </row>
    <row r="47">
      <c r="A47" s="4" t="s">
        <v>159</v>
      </c>
      <c r="B47" s="4" t="s">
        <v>160</v>
      </c>
      <c r="C47" s="43">
        <f>SUMIF(C17:C28,"P101",I17:I28)</f>
        <v>255000</v>
      </c>
      <c r="D47" s="4"/>
      <c r="E47" s="4"/>
      <c r="F47" s="4"/>
      <c r="G47" s="4"/>
      <c r="H47" s="4"/>
      <c r="I47" s="4"/>
      <c r="J47" s="4"/>
    </row>
    <row r="48">
      <c r="A48" s="4" t="s">
        <v>163</v>
      </c>
      <c r="B48" s="4" t="s">
        <v>164</v>
      </c>
      <c r="C48" s="43">
        <f>SUMIFS(I17:I28,G17:G28,"North",C17:C28,"P101")</f>
        <v>170000</v>
      </c>
      <c r="D48" s="4"/>
      <c r="E48" s="4"/>
      <c r="F48" s="4"/>
      <c r="G48" s="4"/>
      <c r="H48" s="4"/>
      <c r="I48" s="4"/>
      <c r="J48" s="4"/>
    </row>
    <row r="49">
      <c r="A49" s="4" t="s">
        <v>166</v>
      </c>
      <c r="B49" s="4" t="s">
        <v>167</v>
      </c>
      <c r="C49" s="31">
        <f>COUNTIF(G17:G28,"South")</f>
        <v>3</v>
      </c>
      <c r="D49" s="4"/>
      <c r="E49" s="4"/>
      <c r="F49" s="4"/>
      <c r="G49" s="4"/>
      <c r="H49" s="4"/>
      <c r="I49" s="4"/>
      <c r="J49" s="4"/>
    </row>
    <row r="50">
      <c r="A50" s="4" t="s">
        <v>169</v>
      </c>
      <c r="B50" s="4" t="s">
        <v>170</v>
      </c>
      <c r="C50" s="45">
        <f>AVERAGE(I17:I28)</f>
        <v>33108.33333</v>
      </c>
      <c r="D50" s="4"/>
      <c r="E50" s="4"/>
      <c r="F50" s="4"/>
      <c r="G50" s="4"/>
      <c r="H50" s="4"/>
      <c r="I50" s="4"/>
      <c r="J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>
      <c r="A52" s="19" t="s">
        <v>171</v>
      </c>
      <c r="B52" s="9"/>
      <c r="C52" s="10"/>
      <c r="D52" s="4"/>
      <c r="E52" s="4"/>
      <c r="F52" s="4"/>
      <c r="G52" s="4"/>
      <c r="H52" s="4"/>
      <c r="I52" s="4"/>
      <c r="J52" s="4"/>
    </row>
    <row r="53">
      <c r="A53" s="4" t="s">
        <v>172</v>
      </c>
      <c r="B53" s="21" t="s">
        <v>43</v>
      </c>
      <c r="C53" s="4"/>
      <c r="D53" s="4"/>
      <c r="E53" s="4"/>
      <c r="F53" s="4"/>
      <c r="G53" s="4"/>
      <c r="H53" s="4"/>
      <c r="I53" s="4"/>
      <c r="J53" s="4"/>
    </row>
    <row r="54">
      <c r="A54" s="4" t="s">
        <v>173</v>
      </c>
      <c r="B54" s="34">
        <f>MATCH(B53,A5:A12,0)</f>
        <v>5</v>
      </c>
      <c r="C54" s="4"/>
      <c r="D54" s="4"/>
      <c r="E54" s="4"/>
      <c r="F54" s="4"/>
      <c r="G54" s="4"/>
      <c r="H54" s="4"/>
      <c r="I54" s="4"/>
      <c r="J54" s="4"/>
    </row>
    <row r="55">
      <c r="A55" s="4" t="s">
        <v>175</v>
      </c>
      <c r="B55" s="24" t="str">
        <f t="array" ref="B55">INDEX(B5:B12,B54)</f>
        <v>Keyboard Mechanical</v>
      </c>
      <c r="C55" s="4"/>
      <c r="D55" s="4"/>
      <c r="E55" s="4"/>
      <c r="F55" s="4"/>
      <c r="G55" s="4"/>
      <c r="H55" s="4"/>
      <c r="I55" s="4"/>
      <c r="J55" s="4"/>
    </row>
    <row r="56">
      <c r="A56" s="8" t="s">
        <v>178</v>
      </c>
      <c r="B56" s="9"/>
      <c r="C56" s="9"/>
      <c r="D56" s="10"/>
      <c r="E56" s="4"/>
      <c r="F56" s="4"/>
      <c r="G56" s="4"/>
      <c r="H56" s="4"/>
      <c r="I56" s="4"/>
      <c r="J56" s="4"/>
    </row>
    <row r="57">
      <c r="A57" s="4" t="s">
        <v>180</v>
      </c>
      <c r="B57" s="21" t="s">
        <v>72</v>
      </c>
      <c r="C57" s="4"/>
      <c r="D57" s="4"/>
      <c r="E57" s="4"/>
      <c r="F57" s="4"/>
      <c r="G57" s="4"/>
      <c r="H57" s="4"/>
      <c r="I57" s="4"/>
      <c r="J57" s="4"/>
    </row>
    <row r="58">
      <c r="A58" s="4" t="s">
        <v>181</v>
      </c>
      <c r="B58" s="24" t="str">
        <f t="array" ref="B58">INDEX(A17:A28,MATCH(B57,H17:H28,0))</f>
        <v>SL001</v>
      </c>
      <c r="C58" s="4"/>
      <c r="D58" s="4"/>
      <c r="E58" s="4"/>
      <c r="F58" s="4"/>
      <c r="G58" s="4"/>
      <c r="H58" s="4"/>
      <c r="I58" s="4"/>
      <c r="J58" s="4"/>
    </row>
    <row r="59">
      <c r="A59" s="4" t="s">
        <v>183</v>
      </c>
      <c r="B59" s="28">
        <f>SUMIF(H17:H28,B57,I17:I28)</f>
        <v>220900</v>
      </c>
      <c r="C59" s="4"/>
      <c r="D59" s="4"/>
      <c r="E59" s="4"/>
      <c r="F59" s="4"/>
      <c r="G59" s="4"/>
      <c r="H59" s="4"/>
      <c r="I59" s="4"/>
      <c r="J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>
      <c r="A61" s="19" t="s">
        <v>186</v>
      </c>
      <c r="B61" s="9"/>
      <c r="C61" s="10"/>
      <c r="D61" s="4"/>
      <c r="E61" s="4"/>
      <c r="F61" s="4"/>
      <c r="G61" s="4"/>
      <c r="H61" s="4"/>
      <c r="I61" s="4"/>
      <c r="J61" s="4"/>
    </row>
    <row r="62">
      <c r="A62" s="4" t="s">
        <v>187</v>
      </c>
      <c r="B62" s="21" t="s">
        <v>188</v>
      </c>
      <c r="C62" s="4"/>
      <c r="D62" s="4"/>
      <c r="E62" s="4"/>
      <c r="F62" s="4"/>
      <c r="G62" s="4"/>
      <c r="H62" s="4"/>
      <c r="I62" s="4"/>
      <c r="J62" s="4"/>
    </row>
    <row r="63">
      <c r="A63" s="4" t="s">
        <v>191</v>
      </c>
      <c r="B63" s="21" t="s">
        <v>192</v>
      </c>
      <c r="C63" s="4"/>
      <c r="D63" s="4"/>
      <c r="E63" s="4"/>
      <c r="F63" s="4"/>
      <c r="G63" s="4"/>
      <c r="H63" s="4"/>
      <c r="I63" s="4"/>
      <c r="J63" s="4"/>
    </row>
    <row r="64">
      <c r="A64" s="4" t="s">
        <v>193</v>
      </c>
      <c r="B64" s="28">
        <f t="array" ref="B64">INDIRECT("'"&amp;B62&amp;"'!"&amp;B63)</f>
        <v>85000</v>
      </c>
      <c r="C64" s="4"/>
      <c r="D64" s="4"/>
      <c r="E64" s="4"/>
      <c r="F64" s="4"/>
      <c r="G64" s="4"/>
      <c r="H64" s="4"/>
      <c r="I64" s="4"/>
      <c r="J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>
      <c r="A66" s="36" t="s">
        <v>194</v>
      </c>
      <c r="B66" s="9"/>
      <c r="C66" s="10"/>
      <c r="D66" s="4"/>
      <c r="E66" s="4"/>
      <c r="F66" s="4"/>
      <c r="G66" s="4"/>
      <c r="H66" s="4"/>
      <c r="I66" s="4"/>
      <c r="J66" s="4"/>
    </row>
    <row r="67">
      <c r="A67" s="4" t="s">
        <v>195</v>
      </c>
      <c r="B67" s="47">
        <v>5.0</v>
      </c>
      <c r="C67" s="4"/>
      <c r="D67" s="4"/>
      <c r="E67" s="4"/>
      <c r="F67" s="4"/>
      <c r="G67" s="4"/>
      <c r="H67" s="4"/>
      <c r="I67" s="4"/>
      <c r="J67" s="4"/>
    </row>
    <row r="68">
      <c r="A68" s="4" t="s">
        <v>196</v>
      </c>
      <c r="B68" s="28">
        <f>SUM(OFFSET(I17,0,0,B67,1))</f>
        <v>221000</v>
      </c>
      <c r="C68" s="4"/>
      <c r="D68" s="4"/>
      <c r="E68" s="4"/>
      <c r="F68" s="4"/>
      <c r="G68" s="4"/>
      <c r="H68" s="4"/>
      <c r="I68" s="4"/>
      <c r="J68" s="4"/>
    </row>
  </sheetData>
  <mergeCells count="9">
    <mergeCell ref="A61:C61"/>
    <mergeCell ref="A66:C66"/>
    <mergeCell ref="A1:J1"/>
    <mergeCell ref="A3:D3"/>
    <mergeCell ref="A15:H15"/>
    <mergeCell ref="A31:D31"/>
    <mergeCell ref="A43:D43"/>
    <mergeCell ref="A52:C52"/>
    <mergeCell ref="A56:D5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7" t="s">
        <v>17</v>
      </c>
      <c r="B3" s="7" t="s">
        <v>3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11</v>
      </c>
      <c r="J3" s="7" t="s">
        <v>24</v>
      </c>
      <c r="K3" s="7" t="s">
        <v>25</v>
      </c>
      <c r="L3" s="4"/>
    </row>
    <row r="4">
      <c r="A4" s="5" t="s">
        <v>26</v>
      </c>
      <c r="B4" s="6" t="s">
        <v>28</v>
      </c>
      <c r="C4" s="6" t="s">
        <v>30</v>
      </c>
      <c r="D4" s="11">
        <v>43174.0</v>
      </c>
      <c r="E4" s="11">
        <v>31218.0</v>
      </c>
      <c r="F4" s="13">
        <v>65000.0</v>
      </c>
      <c r="G4" s="16">
        <f t="shared" ref="G4:H4" si="1">DATEDIF(D4,TODAY(),"Y")</f>
        <v>8</v>
      </c>
      <c r="H4" s="16">
        <f t="shared" si="1"/>
        <v>41</v>
      </c>
      <c r="I4" s="16" t="str">
        <f t="shared" ref="I4:I13" si="3">LEFT(B4,FIND(" ",B4)-1)</f>
        <v>Rajesh</v>
      </c>
      <c r="J4" s="17">
        <f t="shared" ref="J4:J13" si="4">INDEX($F$4:$F$13,MATCH(A4,$A$4:$A$13,0))</f>
        <v>65000</v>
      </c>
      <c r="K4" s="16" t="str">
        <f t="shared" ref="K4:K13" si="5">IF(G4&gt;=5,"Senior",IF(G4&gt;=2,"Mid-Level","Junior"))</f>
        <v>Senior</v>
      </c>
      <c r="L4" s="4"/>
    </row>
    <row r="5">
      <c r="A5" s="5" t="s">
        <v>64</v>
      </c>
      <c r="B5" s="6" t="s">
        <v>65</v>
      </c>
      <c r="C5" s="6" t="s">
        <v>66</v>
      </c>
      <c r="D5" s="11">
        <v>43647.0</v>
      </c>
      <c r="E5" s="11">
        <v>33182.0</v>
      </c>
      <c r="F5" s="13">
        <v>55000.0</v>
      </c>
      <c r="G5" s="16">
        <f t="shared" ref="G5:H5" si="2">DATEDIF(D5,TODAY(),"Y")</f>
        <v>7</v>
      </c>
      <c r="H5" s="16">
        <f t="shared" si="2"/>
        <v>35</v>
      </c>
      <c r="I5" s="16" t="str">
        <f t="shared" si="3"/>
        <v>Sunita</v>
      </c>
      <c r="J5" s="17">
        <f t="shared" si="4"/>
        <v>55000</v>
      </c>
      <c r="K5" s="16" t="str">
        <f t="shared" si="5"/>
        <v>Senior</v>
      </c>
      <c r="L5" s="4"/>
    </row>
    <row r="6">
      <c r="A6" s="5" t="s">
        <v>73</v>
      </c>
      <c r="B6" s="6" t="s">
        <v>74</v>
      </c>
      <c r="C6" s="6" t="s">
        <v>75</v>
      </c>
      <c r="D6" s="11">
        <v>42745.0</v>
      </c>
      <c r="E6" s="11">
        <v>32187.0</v>
      </c>
      <c r="F6" s="13">
        <v>85000.0</v>
      </c>
      <c r="G6" s="16">
        <f t="shared" ref="G6:H6" si="6">DATEDIF(D6,TODAY(),"Y")</f>
        <v>9</v>
      </c>
      <c r="H6" s="16">
        <f t="shared" si="6"/>
        <v>38</v>
      </c>
      <c r="I6" s="16" t="str">
        <f t="shared" si="3"/>
        <v>Mohit</v>
      </c>
      <c r="J6" s="17">
        <f t="shared" si="4"/>
        <v>85000</v>
      </c>
      <c r="K6" s="16" t="str">
        <f t="shared" si="5"/>
        <v>Senior</v>
      </c>
      <c r="L6" s="4"/>
    </row>
    <row r="7">
      <c r="A7" s="5" t="s">
        <v>78</v>
      </c>
      <c r="B7" s="6" t="s">
        <v>79</v>
      </c>
      <c r="C7" s="6" t="s">
        <v>80</v>
      </c>
      <c r="D7" s="11">
        <v>44096.0</v>
      </c>
      <c r="E7" s="11">
        <v>33846.0</v>
      </c>
      <c r="F7" s="13">
        <v>70000.0</v>
      </c>
      <c r="G7" s="16">
        <f t="shared" ref="G7:H7" si="7">DATEDIF(D7,TODAY(),"Y")</f>
        <v>6</v>
      </c>
      <c r="H7" s="16">
        <f t="shared" si="7"/>
        <v>34</v>
      </c>
      <c r="I7" s="16" t="str">
        <f t="shared" si="3"/>
        <v>Pooja</v>
      </c>
      <c r="J7" s="17">
        <f t="shared" si="4"/>
        <v>70000</v>
      </c>
      <c r="K7" s="16" t="str">
        <f t="shared" si="5"/>
        <v>Senior</v>
      </c>
      <c r="L7" s="4"/>
    </row>
    <row r="8">
      <c r="A8" s="5" t="s">
        <v>84</v>
      </c>
      <c r="B8" s="6" t="s">
        <v>85</v>
      </c>
      <c r="C8" s="6" t="s">
        <v>30</v>
      </c>
      <c r="D8" s="11">
        <v>42495.0</v>
      </c>
      <c r="E8" s="11">
        <v>30662.0</v>
      </c>
      <c r="F8" s="13">
        <v>72000.0</v>
      </c>
      <c r="G8" s="16">
        <f t="shared" ref="G8:H8" si="8">DATEDIF(D8,TODAY(),"Y")</f>
        <v>10</v>
      </c>
      <c r="H8" s="16">
        <f t="shared" si="8"/>
        <v>42</v>
      </c>
      <c r="I8" s="16" t="str">
        <f t="shared" si="3"/>
        <v>Karan</v>
      </c>
      <c r="J8" s="17">
        <f t="shared" si="4"/>
        <v>72000</v>
      </c>
      <c r="K8" s="16" t="str">
        <f t="shared" si="5"/>
        <v>Senior</v>
      </c>
      <c r="L8" s="4"/>
    </row>
    <row r="9">
      <c r="A9" s="5" t="s">
        <v>90</v>
      </c>
      <c r="B9" s="6" t="s">
        <v>91</v>
      </c>
      <c r="C9" s="6" t="s">
        <v>92</v>
      </c>
      <c r="D9" s="11">
        <v>44245.0</v>
      </c>
      <c r="E9" s="11">
        <v>34814.0</v>
      </c>
      <c r="F9" s="13">
        <v>48000.0</v>
      </c>
      <c r="G9" s="16">
        <f t="shared" ref="G9:H9" si="9">DATEDIF(D9,TODAY(),"Y")</f>
        <v>5</v>
      </c>
      <c r="H9" s="16">
        <f t="shared" si="9"/>
        <v>31</v>
      </c>
      <c r="I9" s="16" t="str">
        <f t="shared" si="3"/>
        <v>Neha</v>
      </c>
      <c r="J9" s="17">
        <f t="shared" si="4"/>
        <v>48000</v>
      </c>
      <c r="K9" s="16" t="str">
        <f t="shared" si="5"/>
        <v>Senior</v>
      </c>
      <c r="L9" s="4"/>
    </row>
    <row r="10">
      <c r="A10" s="5" t="s">
        <v>97</v>
      </c>
      <c r="B10" s="6" t="s">
        <v>98</v>
      </c>
      <c r="C10" s="6" t="s">
        <v>75</v>
      </c>
      <c r="D10" s="11">
        <v>43799.0</v>
      </c>
      <c r="E10" s="11">
        <v>33489.0</v>
      </c>
      <c r="F10" s="13">
        <v>78000.0</v>
      </c>
      <c r="G10" s="16">
        <f t="shared" ref="G10:H10" si="10">DATEDIF(D10,TODAY(),"Y")</f>
        <v>6</v>
      </c>
      <c r="H10" s="16">
        <f t="shared" si="10"/>
        <v>35</v>
      </c>
      <c r="I10" s="16" t="str">
        <f t="shared" si="3"/>
        <v>Aakash</v>
      </c>
      <c r="J10" s="17">
        <f t="shared" si="4"/>
        <v>78000</v>
      </c>
      <c r="K10" s="16" t="str">
        <f t="shared" si="5"/>
        <v>Senior</v>
      </c>
      <c r="L10" s="4"/>
    </row>
    <row r="11">
      <c r="A11" s="5" t="s">
        <v>100</v>
      </c>
      <c r="B11" s="6" t="s">
        <v>102</v>
      </c>
      <c r="C11" s="6" t="s">
        <v>66</v>
      </c>
      <c r="D11" s="11">
        <v>44663.0</v>
      </c>
      <c r="E11" s="11">
        <v>34351.0</v>
      </c>
      <c r="F11" s="13">
        <v>52000.0</v>
      </c>
      <c r="G11" s="16">
        <f t="shared" ref="G11:H11" si="11">DATEDIF(D11,TODAY(),"Y")</f>
        <v>4</v>
      </c>
      <c r="H11" s="16">
        <f t="shared" si="11"/>
        <v>32</v>
      </c>
      <c r="I11" s="16" t="str">
        <f t="shared" si="3"/>
        <v>Ritu</v>
      </c>
      <c r="J11" s="17">
        <f t="shared" si="4"/>
        <v>52000</v>
      </c>
      <c r="K11" s="16" t="str">
        <f t="shared" si="5"/>
        <v>Mid-Level</v>
      </c>
      <c r="L11" s="4"/>
    </row>
    <row r="12">
      <c r="A12" s="5" t="s">
        <v>104</v>
      </c>
      <c r="B12" s="6" t="s">
        <v>105</v>
      </c>
      <c r="C12" s="6" t="s">
        <v>80</v>
      </c>
      <c r="D12" s="11">
        <v>42224.0</v>
      </c>
      <c r="E12" s="11">
        <v>29405.0</v>
      </c>
      <c r="F12" s="13">
        <v>95000.0</v>
      </c>
      <c r="G12" s="16">
        <f t="shared" ref="G12:H12" si="12">DATEDIF(D12,TODAY(),"Y")</f>
        <v>11</v>
      </c>
      <c r="H12" s="16">
        <f t="shared" si="12"/>
        <v>46</v>
      </c>
      <c r="I12" s="16" t="str">
        <f t="shared" si="3"/>
        <v>Vishal</v>
      </c>
      <c r="J12" s="17">
        <f t="shared" si="4"/>
        <v>95000</v>
      </c>
      <c r="K12" s="16" t="str">
        <f t="shared" si="5"/>
        <v>Senior</v>
      </c>
      <c r="L12" s="4"/>
    </row>
    <row r="13">
      <c r="A13" s="5" t="s">
        <v>108</v>
      </c>
      <c r="B13" s="6" t="s">
        <v>110</v>
      </c>
      <c r="C13" s="6" t="s">
        <v>92</v>
      </c>
      <c r="D13" s="11">
        <v>44007.0</v>
      </c>
      <c r="E13" s="11">
        <v>34261.0</v>
      </c>
      <c r="F13" s="13">
        <v>58000.0</v>
      </c>
      <c r="G13" s="16">
        <f t="shared" ref="G13:H13" si="13">DATEDIF(D13,TODAY(),"Y")</f>
        <v>6</v>
      </c>
      <c r="H13" s="16">
        <f t="shared" si="13"/>
        <v>32</v>
      </c>
      <c r="I13" s="16" t="str">
        <f t="shared" si="3"/>
        <v>Anjali</v>
      </c>
      <c r="J13" s="17">
        <f t="shared" si="4"/>
        <v>58000</v>
      </c>
      <c r="K13" s="16" t="str">
        <f t="shared" si="5"/>
        <v>Senior</v>
      </c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18" t="s">
        <v>115</v>
      </c>
      <c r="B15" s="9"/>
      <c r="C15" s="9"/>
      <c r="D15" s="10"/>
      <c r="E15" s="4"/>
      <c r="F15" s="4"/>
      <c r="G15" s="4"/>
      <c r="H15" s="4"/>
      <c r="I15" s="4"/>
      <c r="J15" s="4"/>
      <c r="K15" s="4"/>
      <c r="L15" s="4"/>
    </row>
    <row r="16">
      <c r="A16" s="8" t="s">
        <v>119</v>
      </c>
      <c r="B16" s="9"/>
      <c r="C16" s="9"/>
      <c r="D16" s="10"/>
      <c r="E16" s="4"/>
      <c r="F16" s="4"/>
      <c r="G16" s="4"/>
      <c r="H16" s="4"/>
      <c r="I16" s="4"/>
      <c r="J16" s="4"/>
      <c r="K16" s="4"/>
      <c r="L16" s="4"/>
    </row>
    <row r="17">
      <c r="A17" s="4" t="s">
        <v>124</v>
      </c>
      <c r="B17" s="21" t="s">
        <v>73</v>
      </c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4" t="s">
        <v>126</v>
      </c>
      <c r="B18" s="24" t="str">
        <f t="array" ref="B18">IFERROR(INDEX(B4:B13,MATCH(B17,A4:A13,0)),"Not Found")</f>
        <v>Mohit Verma</v>
      </c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4" t="s">
        <v>132</v>
      </c>
      <c r="B19" s="24" t="str">
        <f t="array" ref="B19">IFERROR(INDEX(C4:C13,MATCH(B17,A4:A13,0)),"Not Found")</f>
        <v>IT</v>
      </c>
      <c r="C19" s="4"/>
      <c r="D19" s="4"/>
      <c r="E19" s="4"/>
      <c r="F19" s="4"/>
      <c r="G19" s="4"/>
      <c r="H19" s="4"/>
      <c r="I19" s="4"/>
      <c r="J19" s="4"/>
      <c r="K19" s="4"/>
      <c r="L19" s="4"/>
    </row>
    <row r="20">
      <c r="A20" s="4" t="s">
        <v>134</v>
      </c>
      <c r="B20" s="28">
        <f t="array" ref="B20">IFERROR(INDEX(F4:F13,MATCH(B17,A4:A13,0)),"Not Found")</f>
        <v>85000</v>
      </c>
      <c r="C20" s="4"/>
      <c r="D20" s="4"/>
      <c r="E20" s="4"/>
      <c r="F20" s="4"/>
      <c r="G20" s="4"/>
      <c r="H20" s="4"/>
      <c r="I20" s="4"/>
      <c r="J20" s="4"/>
      <c r="K20" s="4"/>
      <c r="L20" s="4"/>
    </row>
    <row r="21">
      <c r="A21" s="4" t="s">
        <v>139</v>
      </c>
      <c r="B21" s="30">
        <f t="array" ref="B21">IFERROR(INDEX(D4:D13,MATCH(B17,A4:A13,0)),"Not Found")</f>
        <v>42745</v>
      </c>
      <c r="C21" s="4"/>
      <c r="D21" s="4"/>
      <c r="E21" s="4"/>
      <c r="F21" s="4"/>
      <c r="G21" s="4"/>
      <c r="H21" s="4"/>
      <c r="I21" s="4"/>
      <c r="J21" s="4"/>
      <c r="K21" s="4"/>
      <c r="L21" s="4"/>
    </row>
    <row r="22">
      <c r="A22" s="19" t="s">
        <v>141</v>
      </c>
      <c r="B22" s="9"/>
      <c r="C22" s="10"/>
      <c r="D22" s="4"/>
      <c r="E22" s="4"/>
      <c r="F22" s="4"/>
      <c r="G22" s="4"/>
      <c r="H22" s="4"/>
      <c r="I22" s="4"/>
      <c r="J22" s="4"/>
      <c r="K22" s="4"/>
      <c r="L22" s="4"/>
    </row>
    <row r="23">
      <c r="A23" s="4" t="s">
        <v>142</v>
      </c>
      <c r="B23" s="32">
        <v>45292.0</v>
      </c>
      <c r="C23" s="4"/>
      <c r="D23" s="4"/>
      <c r="E23" s="4"/>
      <c r="F23" s="4"/>
      <c r="G23" s="4"/>
      <c r="H23" s="4"/>
      <c r="I23" s="4"/>
      <c r="J23" s="4"/>
      <c r="K23" s="4"/>
      <c r="L23" s="4"/>
    </row>
    <row r="24">
      <c r="A24" s="4" t="s">
        <v>144</v>
      </c>
      <c r="B24" s="32">
        <v>45932.0</v>
      </c>
      <c r="C24" s="4"/>
      <c r="D24" s="4"/>
      <c r="E24" s="4"/>
      <c r="F24" s="4"/>
      <c r="G24" s="4"/>
      <c r="H24" s="4"/>
      <c r="I24" s="4"/>
      <c r="J24" s="4"/>
      <c r="K24" s="4"/>
      <c r="L24" s="4"/>
    </row>
    <row r="25">
      <c r="A25" s="4" t="s">
        <v>145</v>
      </c>
      <c r="B25" s="34">
        <f>B24-B23</f>
        <v>640</v>
      </c>
      <c r="C25" s="4"/>
      <c r="D25" s="4"/>
      <c r="E25" s="4"/>
      <c r="F25" s="4"/>
      <c r="G25" s="4"/>
      <c r="H25" s="4"/>
      <c r="I25" s="4"/>
      <c r="J25" s="4"/>
      <c r="K25" s="4"/>
      <c r="L25" s="4"/>
    </row>
    <row r="26">
      <c r="A26" s="4" t="s">
        <v>147</v>
      </c>
      <c r="B26" s="35">
        <f>YEARFRAC(B23,B24)</f>
        <v>1.752777778</v>
      </c>
      <c r="C26" s="4"/>
      <c r="D26" s="4"/>
      <c r="E26" s="4"/>
      <c r="F26" s="4"/>
      <c r="G26" s="4"/>
      <c r="H26" s="4"/>
      <c r="I26" s="4"/>
      <c r="J26" s="4"/>
      <c r="K26" s="4"/>
      <c r="L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>
      <c r="A28" s="36" t="s">
        <v>150</v>
      </c>
      <c r="B28" s="9"/>
      <c r="C28" s="9"/>
      <c r="D28" s="10"/>
      <c r="E28" s="4"/>
      <c r="F28" s="4"/>
      <c r="G28" s="4"/>
      <c r="H28" s="4"/>
      <c r="I28" s="4"/>
      <c r="J28" s="4"/>
      <c r="K28" s="4"/>
      <c r="L28" s="4"/>
    </row>
    <row r="29">
      <c r="A29" s="38" t="s">
        <v>155</v>
      </c>
      <c r="B29" s="38" t="s">
        <v>156</v>
      </c>
      <c r="C29" s="38" t="s">
        <v>157</v>
      </c>
      <c r="D29" s="38" t="s">
        <v>158</v>
      </c>
      <c r="E29" s="4"/>
      <c r="F29" s="4"/>
      <c r="G29" s="4"/>
      <c r="H29" s="4"/>
      <c r="I29" s="4"/>
      <c r="J29" s="4"/>
      <c r="K29" s="4"/>
      <c r="L29" s="4"/>
    </row>
    <row r="30">
      <c r="A30" s="23">
        <f t="shared" ref="A30:A34" si="14">F4</f>
        <v>65000</v>
      </c>
      <c r="B30" s="28">
        <f t="shared" ref="B30:B34" si="15">ROUND(A30,-3)</f>
        <v>65000</v>
      </c>
      <c r="C30" s="28">
        <f t="shared" ref="C30:C34" si="16">CEILING(A30,5000)</f>
        <v>65000</v>
      </c>
      <c r="D30" s="28">
        <f t="shared" ref="D30:D34" si="17">FLOOR(A30,5000)</f>
        <v>65000</v>
      </c>
      <c r="E30" s="4"/>
      <c r="F30" s="4"/>
      <c r="G30" s="4"/>
      <c r="H30" s="4"/>
      <c r="I30" s="4"/>
      <c r="J30" s="4"/>
      <c r="K30" s="4"/>
      <c r="L30" s="4"/>
    </row>
    <row r="31">
      <c r="A31" s="23">
        <f t="shared" si="14"/>
        <v>55000</v>
      </c>
      <c r="B31" s="28">
        <f t="shared" si="15"/>
        <v>55000</v>
      </c>
      <c r="C31" s="28">
        <f t="shared" si="16"/>
        <v>55000</v>
      </c>
      <c r="D31" s="28">
        <f t="shared" si="17"/>
        <v>55000</v>
      </c>
      <c r="E31" s="4"/>
      <c r="F31" s="4"/>
      <c r="G31" s="4"/>
      <c r="H31" s="4"/>
      <c r="I31" s="4"/>
      <c r="J31" s="4"/>
      <c r="K31" s="4"/>
      <c r="L31" s="4"/>
    </row>
    <row r="32">
      <c r="A32" s="23">
        <f t="shared" si="14"/>
        <v>85000</v>
      </c>
      <c r="B32" s="28">
        <f t="shared" si="15"/>
        <v>85000</v>
      </c>
      <c r="C32" s="28">
        <f t="shared" si="16"/>
        <v>85000</v>
      </c>
      <c r="D32" s="28">
        <f t="shared" si="17"/>
        <v>85000</v>
      </c>
      <c r="E32" s="4"/>
      <c r="F32" s="4"/>
      <c r="G32" s="4"/>
      <c r="H32" s="4"/>
      <c r="I32" s="4"/>
      <c r="J32" s="4"/>
      <c r="K32" s="4"/>
      <c r="L32" s="4"/>
    </row>
    <row r="33">
      <c r="A33" s="23">
        <f t="shared" si="14"/>
        <v>70000</v>
      </c>
      <c r="B33" s="28">
        <f t="shared" si="15"/>
        <v>70000</v>
      </c>
      <c r="C33" s="28">
        <f t="shared" si="16"/>
        <v>70000</v>
      </c>
      <c r="D33" s="28">
        <f t="shared" si="17"/>
        <v>70000</v>
      </c>
      <c r="E33" s="4"/>
      <c r="F33" s="4"/>
      <c r="G33" s="4"/>
      <c r="H33" s="4"/>
      <c r="I33" s="4"/>
      <c r="J33" s="4"/>
      <c r="K33" s="4"/>
      <c r="L33" s="4"/>
    </row>
    <row r="34">
      <c r="A34" s="23">
        <f t="shared" si="14"/>
        <v>72000</v>
      </c>
      <c r="B34" s="28">
        <f t="shared" si="15"/>
        <v>72000</v>
      </c>
      <c r="C34" s="28">
        <f t="shared" si="16"/>
        <v>75000</v>
      </c>
      <c r="D34" s="28">
        <f t="shared" si="17"/>
        <v>70000</v>
      </c>
      <c r="E34" s="4"/>
      <c r="F34" s="4"/>
      <c r="G34" s="4"/>
      <c r="H34" s="4"/>
      <c r="I34" s="4"/>
      <c r="J34" s="4"/>
      <c r="K34" s="4"/>
      <c r="L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>
      <c r="A37" s="8" t="s">
        <v>174</v>
      </c>
      <c r="B37" s="9"/>
      <c r="C37" s="9"/>
      <c r="D37" s="10"/>
      <c r="E37" s="4"/>
      <c r="F37" s="4"/>
      <c r="G37" s="4"/>
      <c r="H37" s="4"/>
      <c r="I37" s="4"/>
      <c r="J37" s="4"/>
      <c r="K37" s="4"/>
      <c r="L37" s="4"/>
    </row>
    <row r="38">
      <c r="A38" s="4" t="s">
        <v>176</v>
      </c>
      <c r="B38" s="21" t="s">
        <v>97</v>
      </c>
      <c r="C38" s="4"/>
      <c r="D38" s="4"/>
      <c r="E38" s="4"/>
      <c r="F38" s="4"/>
      <c r="G38" s="4"/>
      <c r="H38" s="4"/>
      <c r="I38" s="4"/>
      <c r="J38" s="4"/>
      <c r="K38" s="4"/>
      <c r="L38" s="4"/>
    </row>
    <row r="39">
      <c r="A39" s="4" t="s">
        <v>177</v>
      </c>
      <c r="B39" s="24" t="str">
        <f t="array" ref="B39">INDEX(C4:C13,MATCH(B38,A4:A13,0))</f>
        <v>IT</v>
      </c>
      <c r="C39" s="4"/>
      <c r="D39" s="4"/>
      <c r="E39" s="4"/>
      <c r="F39" s="4"/>
      <c r="G39" s="4"/>
      <c r="H39" s="4"/>
      <c r="I39" s="4"/>
      <c r="J39" s="4"/>
      <c r="K39" s="4"/>
      <c r="L39" s="4"/>
    </row>
    <row r="40">
      <c r="A40" s="4" t="s">
        <v>179</v>
      </c>
      <c r="B40" s="28">
        <f t="array" ref="B40">INDEX(F4:F13,MATCH(B38,A4:A13,0))</f>
        <v>78000</v>
      </c>
      <c r="C40" s="4"/>
      <c r="D40" s="4"/>
      <c r="E40" s="4"/>
      <c r="F40" s="4"/>
      <c r="G40" s="4"/>
      <c r="H40" s="4"/>
      <c r="I40" s="4"/>
      <c r="J40" s="4"/>
      <c r="K40" s="4"/>
      <c r="L40" s="4"/>
    </row>
    <row r="41">
      <c r="A41" s="4" t="s">
        <v>182</v>
      </c>
      <c r="B41" s="34">
        <f t="array" ref="B41">INDEX(G4:G13,MATCH(B38,A4:A13,0))</f>
        <v>6</v>
      </c>
      <c r="C41" s="4"/>
      <c r="D41" s="4"/>
      <c r="E41" s="4"/>
      <c r="F41" s="4"/>
      <c r="G41" s="4"/>
      <c r="H41" s="4"/>
      <c r="I41" s="4"/>
      <c r="J41" s="4"/>
      <c r="K41" s="4"/>
      <c r="L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>
      <c r="A43" s="19" t="s">
        <v>184</v>
      </c>
      <c r="B43" s="9"/>
      <c r="C43" s="9"/>
      <c r="D43" s="9"/>
      <c r="E43" s="10"/>
      <c r="F43" s="4"/>
      <c r="G43" s="4"/>
      <c r="H43" s="4"/>
      <c r="I43" s="4"/>
      <c r="J43" s="4"/>
      <c r="K43" s="4"/>
      <c r="L43" s="4"/>
    </row>
    <row r="44">
      <c r="A44" s="4" t="s">
        <v>185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>
      <c r="A45" s="4"/>
      <c r="B45" s="46">
        <v>0.1</v>
      </c>
      <c r="C45" s="4"/>
      <c r="D45" s="4"/>
      <c r="E45" s="4"/>
      <c r="F45" s="4"/>
      <c r="G45" s="4"/>
      <c r="H45" s="4"/>
      <c r="I45" s="4"/>
      <c r="J45" s="4"/>
      <c r="K45" s="4"/>
      <c r="L45" s="4"/>
    </row>
    <row r="46">
      <c r="A46" s="38" t="s">
        <v>17</v>
      </c>
      <c r="B46" s="38" t="s">
        <v>21</v>
      </c>
      <c r="C46" s="38" t="s">
        <v>189</v>
      </c>
      <c r="D46" s="38" t="s">
        <v>190</v>
      </c>
      <c r="E46" s="4"/>
      <c r="F46" s="4"/>
      <c r="G46" s="4"/>
      <c r="H46" s="4"/>
      <c r="I46" s="4"/>
      <c r="J46" s="4"/>
      <c r="K46" s="4"/>
      <c r="L46" s="4"/>
    </row>
    <row r="47">
      <c r="A47" s="22" t="str">
        <f t="shared" ref="A47:A51" si="18">A4</f>
        <v>E001</v>
      </c>
      <c r="B47" s="23">
        <f t="shared" ref="B47:B51" si="19">F4</f>
        <v>65000</v>
      </c>
      <c r="C47" s="27">
        <f t="shared" ref="C47:C51" si="20">B47*$B$45</f>
        <v>6500</v>
      </c>
      <c r="D47" s="27">
        <f t="shared" ref="D47:D51" si="21">B47-C47</f>
        <v>58500</v>
      </c>
      <c r="E47" s="4"/>
      <c r="F47" s="4"/>
      <c r="G47" s="4"/>
      <c r="H47" s="4"/>
      <c r="I47" s="4"/>
      <c r="J47" s="4"/>
      <c r="K47" s="4"/>
      <c r="L47" s="4"/>
    </row>
    <row r="48">
      <c r="A48" s="22" t="str">
        <f t="shared" si="18"/>
        <v>E002</v>
      </c>
      <c r="B48" s="23">
        <f t="shared" si="19"/>
        <v>55000</v>
      </c>
      <c r="C48" s="27">
        <f t="shared" si="20"/>
        <v>5500</v>
      </c>
      <c r="D48" s="27">
        <f t="shared" si="21"/>
        <v>49500</v>
      </c>
      <c r="E48" s="4"/>
      <c r="F48" s="4"/>
      <c r="G48" s="4"/>
      <c r="H48" s="4"/>
      <c r="I48" s="4"/>
      <c r="J48" s="4"/>
      <c r="K48" s="4"/>
      <c r="L48" s="4"/>
    </row>
    <row r="49">
      <c r="A49" s="22" t="str">
        <f t="shared" si="18"/>
        <v>E003</v>
      </c>
      <c r="B49" s="23">
        <f t="shared" si="19"/>
        <v>85000</v>
      </c>
      <c r="C49" s="27">
        <f t="shared" si="20"/>
        <v>8500</v>
      </c>
      <c r="D49" s="27">
        <f t="shared" si="21"/>
        <v>76500</v>
      </c>
      <c r="E49" s="4"/>
      <c r="F49" s="4"/>
      <c r="G49" s="4"/>
      <c r="H49" s="4"/>
      <c r="I49" s="4"/>
      <c r="J49" s="4"/>
      <c r="K49" s="4"/>
      <c r="L49" s="4"/>
    </row>
    <row r="50">
      <c r="A50" s="22" t="str">
        <f t="shared" si="18"/>
        <v>E004</v>
      </c>
      <c r="B50" s="23">
        <f t="shared" si="19"/>
        <v>70000</v>
      </c>
      <c r="C50" s="27">
        <f t="shared" si="20"/>
        <v>7000</v>
      </c>
      <c r="D50" s="27">
        <f t="shared" si="21"/>
        <v>63000</v>
      </c>
      <c r="E50" s="4"/>
      <c r="F50" s="4"/>
      <c r="G50" s="4"/>
      <c r="H50" s="4"/>
      <c r="I50" s="4"/>
      <c r="J50" s="4"/>
      <c r="K50" s="4"/>
      <c r="L50" s="4"/>
    </row>
    <row r="51">
      <c r="A51" s="22" t="str">
        <f t="shared" si="18"/>
        <v>E005</v>
      </c>
      <c r="B51" s="23">
        <f t="shared" si="19"/>
        <v>72000</v>
      </c>
      <c r="C51" s="27">
        <f t="shared" si="20"/>
        <v>7200</v>
      </c>
      <c r="D51" s="27">
        <f t="shared" si="21"/>
        <v>64800</v>
      </c>
      <c r="E51" s="4"/>
      <c r="F51" s="4"/>
      <c r="G51" s="4"/>
      <c r="H51" s="4"/>
      <c r="I51" s="4"/>
      <c r="J51" s="4"/>
      <c r="K51" s="4"/>
      <c r="L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</sheetData>
  <mergeCells count="7">
    <mergeCell ref="A1:L1"/>
    <mergeCell ref="A15:D15"/>
    <mergeCell ref="A16:D16"/>
    <mergeCell ref="A22:C22"/>
    <mergeCell ref="A28:D28"/>
    <mergeCell ref="A37:D37"/>
    <mergeCell ref="A43:E43"/>
  </mergeCells>
  <drawing r:id="rId1"/>
</worksheet>
</file>